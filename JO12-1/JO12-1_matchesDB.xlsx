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asif\Downloads\"/>
    </mc:Choice>
  </mc:AlternateContent>
  <xr:revisionPtr revIDLastSave="0" documentId="13_ncr:1_{927513B8-3486-44BB-B3E2-F34BBC5B1A3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atchesDB" sheetId="1" r:id="rId1"/>
    <sheet name="Individua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6Ls1B/73AwEKEr54DAwS07F6U86Rh6zoIbDwilZncNg="/>
    </ext>
  </extLst>
</workbook>
</file>

<file path=xl/calcChain.xml><?xml version="1.0" encoding="utf-8"?>
<calcChain xmlns="http://schemas.openxmlformats.org/spreadsheetml/2006/main">
  <c r="K15" i="1" l="1" a="1"/>
  <c r="K15" i="1" s="1"/>
  <c r="J15" i="1" s="1"/>
  <c r="N49" i="1"/>
  <c r="M49" i="1"/>
  <c r="L49" i="1"/>
  <c r="K49" i="1"/>
  <c r="J49" i="1"/>
  <c r="I49" i="1"/>
  <c r="H49" i="1"/>
  <c r="G49" i="1"/>
  <c r="F49" i="1"/>
  <c r="O48" i="1"/>
  <c r="O47" i="1"/>
  <c r="O46" i="1"/>
  <c r="O45" i="1"/>
  <c r="M12" i="1" a="1"/>
  <c r="M12" i="1" s="1"/>
  <c r="M13" i="1" a="1"/>
  <c r="M13" i="1" s="1"/>
  <c r="M14" i="1" a="1"/>
  <c r="M14" i="1" s="1"/>
  <c r="M15" i="1" a="1"/>
  <c r="M15" i="1" s="1"/>
  <c r="M16" i="1" a="1"/>
  <c r="M16" i="1"/>
  <c r="M17" i="1" a="1"/>
  <c r="M17" i="1"/>
  <c r="M18" i="1" a="1"/>
  <c r="M18" i="1"/>
  <c r="M19" i="1" a="1"/>
  <c r="M19" i="1" s="1"/>
  <c r="M20" i="1" a="1"/>
  <c r="M20" i="1" s="1"/>
  <c r="M21" i="1" a="1"/>
  <c r="M21" i="1"/>
  <c r="M22" i="1" a="1"/>
  <c r="M22" i="1"/>
  <c r="M23" i="1" a="1"/>
  <c r="M23" i="1"/>
  <c r="M24" i="1" a="1"/>
  <c r="M24" i="1"/>
  <c r="M25" i="1" a="1"/>
  <c r="M25" i="1" s="1"/>
  <c r="M26" i="1" a="1"/>
  <c r="M26" i="1" s="1"/>
  <c r="M27" i="1" a="1"/>
  <c r="M27" i="1"/>
  <c r="M28" i="1" a="1"/>
  <c r="M28" i="1"/>
  <c r="M29" i="1" a="1"/>
  <c r="M29" i="1"/>
  <c r="M30" i="1" a="1"/>
  <c r="M30" i="1"/>
  <c r="M31" i="1" a="1"/>
  <c r="M31" i="1" s="1"/>
  <c r="M32" i="1" a="1"/>
  <c r="M32" i="1" s="1"/>
  <c r="M33" i="1" a="1"/>
  <c r="M33" i="1"/>
  <c r="M34" i="1" a="1"/>
  <c r="M34" i="1"/>
  <c r="M35" i="1" a="1"/>
  <c r="M35" i="1"/>
  <c r="M36" i="1" a="1"/>
  <c r="M36" i="1"/>
  <c r="M37" i="1" a="1"/>
  <c r="M37" i="1" s="1"/>
  <c r="M38" i="1" a="1"/>
  <c r="M38" i="1" s="1"/>
  <c r="M39" i="1" a="1"/>
  <c r="M39" i="1"/>
  <c r="M40" i="1" a="1"/>
  <c r="M40" i="1"/>
  <c r="M11" i="1" a="1"/>
  <c r="M11" i="1" s="1"/>
  <c r="K12" i="1" a="1"/>
  <c r="K12" i="1" s="1"/>
  <c r="J12" i="1" s="1"/>
  <c r="K13" i="1" a="1"/>
  <c r="K13" i="1" s="1"/>
  <c r="J13" i="1" s="1"/>
  <c r="K14" i="1" a="1"/>
  <c r="K14" i="1"/>
  <c r="J14" i="1" s="1"/>
  <c r="K16" i="1" a="1"/>
  <c r="K16" i="1"/>
  <c r="K17" i="1" a="1"/>
  <c r="K17" i="1"/>
  <c r="K18" i="1" a="1"/>
  <c r="K18" i="1"/>
  <c r="K19" i="1" a="1"/>
  <c r="K19" i="1" s="1"/>
  <c r="J19" i="1" s="1"/>
  <c r="K20" i="1" a="1"/>
  <c r="K20" i="1"/>
  <c r="K21" i="1" a="1"/>
  <c r="K21" i="1"/>
  <c r="K22" i="1" a="1"/>
  <c r="K22" i="1"/>
  <c r="J22" i="1" s="1"/>
  <c r="K23" i="1" a="1"/>
  <c r="K23" i="1"/>
  <c r="K24" i="1" a="1"/>
  <c r="K24" i="1"/>
  <c r="K25" i="1" a="1"/>
  <c r="K25" i="1" s="1"/>
  <c r="J25" i="1" s="1"/>
  <c r="K26" i="1" a="1"/>
  <c r="K26" i="1"/>
  <c r="K27" i="1" a="1"/>
  <c r="K27" i="1"/>
  <c r="J27" i="1" s="1"/>
  <c r="K28" i="1" a="1"/>
  <c r="K28" i="1"/>
  <c r="J28" i="1" s="1"/>
  <c r="K29" i="1" a="1"/>
  <c r="K29" i="1"/>
  <c r="K30" i="1" a="1"/>
  <c r="K30" i="1"/>
  <c r="K31" i="1" a="1"/>
  <c r="K31" i="1" s="1"/>
  <c r="J31" i="1" s="1"/>
  <c r="K32" i="1" a="1"/>
  <c r="K32" i="1"/>
  <c r="K33" i="1" a="1"/>
  <c r="K33" i="1"/>
  <c r="K34" i="1" a="1"/>
  <c r="K34" i="1"/>
  <c r="J34" i="1" s="1"/>
  <c r="K35" i="1" a="1"/>
  <c r="K35" i="1"/>
  <c r="K36" i="1" a="1"/>
  <c r="K36" i="1"/>
  <c r="K37" i="1" a="1"/>
  <c r="K37" i="1" s="1"/>
  <c r="J37" i="1" s="1"/>
  <c r="K38" i="1" a="1"/>
  <c r="K38" i="1"/>
  <c r="K39" i="1" a="1"/>
  <c r="K39" i="1" s="1"/>
  <c r="J39" i="1" s="1"/>
  <c r="K40" i="1" a="1"/>
  <c r="K40" i="1"/>
  <c r="J40" i="1" s="1"/>
  <c r="K11" i="1" a="1"/>
  <c r="K11" i="1"/>
  <c r="J8" i="2" a="1"/>
  <c r="J8" i="2" s="1"/>
  <c r="I8" i="2" a="1"/>
  <c r="I8" i="2" s="1"/>
  <c r="H6" i="2" a="1"/>
  <c r="H6" i="2" s="1"/>
  <c r="G6" i="2" a="1"/>
  <c r="G6" i="2" s="1"/>
  <c r="F4" i="2" a="1"/>
  <c r="F4" i="2" s="1"/>
  <c r="E6" i="2" a="1"/>
  <c r="E6" i="2" s="1"/>
  <c r="D2" i="2" a="1"/>
  <c r="D2" i="2" s="1"/>
  <c r="C4" i="2" a="1"/>
  <c r="C4" i="2" s="1"/>
  <c r="L8" i="2" a="1"/>
  <c r="L8" i="2" s="1"/>
  <c r="K8" i="2" a="1"/>
  <c r="K8" i="2" s="1"/>
  <c r="L6" i="2" a="1"/>
  <c r="L6" i="2" s="1"/>
  <c r="K6" i="2" a="1"/>
  <c r="K6" i="2" s="1"/>
  <c r="J6" i="2" a="1"/>
  <c r="J6" i="2" s="1"/>
  <c r="I6" i="2" a="1"/>
  <c r="I6" i="2" s="1"/>
  <c r="L4" i="2" a="1"/>
  <c r="L4" i="2" s="1"/>
  <c r="K4" i="2" a="1"/>
  <c r="K4" i="2" s="1"/>
  <c r="J4" i="2" a="1"/>
  <c r="J4" i="2" s="1"/>
  <c r="I4" i="2" a="1"/>
  <c r="I4" i="2" s="1"/>
  <c r="H4" i="2" a="1"/>
  <c r="H4" i="2" s="1"/>
  <c r="G4" i="2" a="1"/>
  <c r="G4" i="2" s="1"/>
  <c r="L2" i="2" a="1"/>
  <c r="L2" i="2" s="1"/>
  <c r="K2" i="2" a="1"/>
  <c r="K2" i="2" s="1"/>
  <c r="J2" i="2" a="1"/>
  <c r="J2" i="2" s="1"/>
  <c r="I2" i="2" a="1"/>
  <c r="I2" i="2" s="1"/>
  <c r="H2" i="2" a="1"/>
  <c r="H2" i="2" s="1"/>
  <c r="G2" i="2" a="1"/>
  <c r="G2" i="2" s="1"/>
  <c r="F2" i="2" a="1"/>
  <c r="F2" i="2" s="1"/>
  <c r="E2" i="2" a="1"/>
  <c r="E2" i="2" s="1"/>
  <c r="E49" i="1"/>
  <c r="D49" i="1"/>
  <c r="C49" i="1"/>
  <c r="B49" i="1"/>
  <c r="A40" i="1"/>
  <c r="A39" i="1"/>
  <c r="J38" i="1"/>
  <c r="A38" i="1"/>
  <c r="A37" i="1"/>
  <c r="J36" i="1"/>
  <c r="A36" i="1"/>
  <c r="J35" i="1"/>
  <c r="A35" i="1"/>
  <c r="A34" i="1"/>
  <c r="J33" i="1"/>
  <c r="A33" i="1"/>
  <c r="J32" i="1"/>
  <c r="A32" i="1"/>
  <c r="A31" i="1"/>
  <c r="J30" i="1"/>
  <c r="A30" i="1"/>
  <c r="J29" i="1"/>
  <c r="A29" i="1"/>
  <c r="A28" i="1"/>
  <c r="A27" i="1"/>
  <c r="J26" i="1"/>
  <c r="A26" i="1"/>
  <c r="A25" i="1"/>
  <c r="J24" i="1"/>
  <c r="A24" i="1"/>
  <c r="J23" i="1"/>
  <c r="A23" i="1"/>
  <c r="A22" i="1"/>
  <c r="J21" i="1"/>
  <c r="A21" i="1"/>
  <c r="J20" i="1"/>
  <c r="A20" i="1"/>
  <c r="A19" i="1"/>
  <c r="J18" i="1"/>
  <c r="J17" i="1"/>
  <c r="J16" i="1"/>
  <c r="A11" i="1"/>
  <c r="A12" i="1" s="1"/>
  <c r="A13" i="1" s="1"/>
  <c r="A14" i="1" s="1"/>
  <c r="A15" i="1" s="1"/>
  <c r="A16" i="1" s="1"/>
  <c r="A17" i="1" s="1"/>
  <c r="A18" i="1" s="1"/>
  <c r="B8" i="1"/>
  <c r="J5" i="2" l="1"/>
  <c r="I5" i="2"/>
  <c r="K5" i="2"/>
  <c r="L5" i="2"/>
  <c r="C6" i="2" a="1"/>
  <c r="C6" i="2" s="1"/>
  <c r="F8" i="2" a="1"/>
  <c r="F8" i="2" s="1"/>
  <c r="F9" i="2" s="1"/>
  <c r="G8" i="2" a="1"/>
  <c r="G8" i="2" s="1"/>
  <c r="G9" i="2" s="1"/>
  <c r="F6" i="2" a="1"/>
  <c r="F6" i="2" s="1"/>
  <c r="F7" i="2" s="1"/>
  <c r="C2" i="2" a="1"/>
  <c r="C2" i="2" s="1"/>
  <c r="C5" i="2" s="1"/>
  <c r="E4" i="2" a="1"/>
  <c r="E4" i="2" s="1"/>
  <c r="E5" i="2" s="1"/>
  <c r="C8" i="2" a="1"/>
  <c r="C8" i="2" s="1"/>
  <c r="D8" i="2" a="1"/>
  <c r="D8" i="2" s="1"/>
  <c r="D9" i="2" s="1"/>
  <c r="E8" i="2" a="1"/>
  <c r="E8" i="2" s="1"/>
  <c r="E9" i="2" s="1"/>
  <c r="D6" i="2" a="1"/>
  <c r="D6" i="2" s="1"/>
  <c r="D7" i="2" s="1"/>
  <c r="D4" i="2" a="1"/>
  <c r="D4" i="2" s="1"/>
  <c r="D5" i="2" s="1"/>
  <c r="H8" i="2" a="1"/>
  <c r="H8" i="2" s="1"/>
  <c r="H9" i="2" s="1"/>
  <c r="K7" i="2"/>
  <c r="K10" i="2"/>
  <c r="K11" i="2" s="1"/>
  <c r="L7" i="2"/>
  <c r="L10" i="2"/>
  <c r="L11" i="2" s="1"/>
  <c r="B7" i="1"/>
  <c r="B6" i="1" s="1"/>
  <c r="J11" i="1"/>
  <c r="E7" i="2"/>
  <c r="G7" i="2"/>
  <c r="I9" i="2"/>
  <c r="F5" i="2"/>
  <c r="H7" i="2"/>
  <c r="J9" i="2"/>
  <c r="G5" i="2"/>
  <c r="I10" i="2"/>
  <c r="I11" i="2" s="1"/>
  <c r="I7" i="2"/>
  <c r="K9" i="2"/>
  <c r="H5" i="2"/>
  <c r="J7" i="2"/>
  <c r="J10" i="2"/>
  <c r="J11" i="2" s="1"/>
  <c r="L9" i="2"/>
  <c r="C9" i="2" l="1"/>
  <c r="C7" i="2"/>
  <c r="H10" i="2"/>
  <c r="H11" i="2" s="1"/>
  <c r="E10" i="2"/>
  <c r="E11" i="2" s="1"/>
  <c r="G10" i="2"/>
  <c r="G11" i="2" s="1"/>
  <c r="D10" i="2"/>
  <c r="D11" i="2" s="1"/>
  <c r="F10" i="2"/>
  <c r="F11" i="2" s="1"/>
  <c r="C10" i="2"/>
  <c r="C11" i="2" s="1"/>
  <c r="B4" i="1"/>
  <c r="B2" i="1"/>
  <c r="B3" i="1"/>
  <c r="B1" i="1"/>
  <c r="B5" i="1" l="1"/>
  <c r="G3" i="2"/>
  <c r="F3" i="2"/>
  <c r="H3" i="2"/>
  <c r="K3" i="2"/>
  <c r="L3" i="2"/>
  <c r="D3" i="2"/>
  <c r="J3" i="2"/>
  <c r="E3" i="2"/>
  <c r="I3" i="2"/>
  <c r="C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<sst xmlns="http://schemas.openxmlformats.org/spreadsheetml/2006/main" count="155" uniqueCount="76">
  <si>
    <t>Matches</t>
  </si>
  <si>
    <t>Adam</t>
  </si>
  <si>
    <t>Amit</t>
  </si>
  <si>
    <t>Ari</t>
  </si>
  <si>
    <t>Hugo</t>
  </si>
  <si>
    <t>Micah</t>
  </si>
  <si>
    <t>Miron</t>
  </si>
  <si>
    <t>Mulu</t>
  </si>
  <si>
    <t>Robert</t>
  </si>
  <si>
    <t>Yarden</t>
  </si>
  <si>
    <t>Maddox</t>
  </si>
  <si>
    <t>Show-up</t>
  </si>
  <si>
    <t>Count</t>
  </si>
  <si>
    <t>Wins</t>
  </si>
  <si>
    <t>Loses</t>
  </si>
  <si>
    <t>Draws</t>
  </si>
  <si>
    <t>Points</t>
  </si>
  <si>
    <t>GD</t>
  </si>
  <si>
    <t>Scored</t>
  </si>
  <si>
    <t>Concede</t>
  </si>
  <si>
    <t>#</t>
  </si>
  <si>
    <t>Q</t>
  </si>
  <si>
    <t>League</t>
  </si>
  <si>
    <t>Date</t>
  </si>
  <si>
    <t>Kickoff</t>
  </si>
  <si>
    <t>URL</t>
  </si>
  <si>
    <t>Opponent</t>
  </si>
  <si>
    <t>Address</t>
  </si>
  <si>
    <t>H/A</t>
  </si>
  <si>
    <t>W/D/L</t>
  </si>
  <si>
    <t>Conceded</t>
  </si>
  <si>
    <t>Show up</t>
  </si>
  <si>
    <t>Ben</t>
  </si>
  <si>
    <t>NVC Givaudan Kick-off Zomertornooi</t>
  </si>
  <si>
    <t>https://tournifyapp.com/live/nvckickoffzomer26/team/0w4Op0PEqwM2THnzqA6B</t>
  </si>
  <si>
    <t>sv 's-Graveland JO12-1</t>
  </si>
  <si>
    <t>A</t>
  </si>
  <si>
    <t>%</t>
  </si>
  <si>
    <t>1,0,0,0</t>
  </si>
  <si>
    <t>1,1,0,0</t>
  </si>
  <si>
    <t>1,1,1,0</t>
  </si>
  <si>
    <t>KFC</t>
  </si>
  <si>
    <t>1st lineup</t>
  </si>
  <si>
    <t>SDO JO 12-1</t>
  </si>
  <si>
    <t>1,1,0,1</t>
  </si>
  <si>
    <t>1,0,1,0</t>
  </si>
  <si>
    <t>1e 21</t>
  </si>
  <si>
    <t>Buitenveldert sc. O12-3</t>
  </si>
  <si>
    <t>Gustav Mahlerlaan 2009, 1081 LB Amsterdam</t>
  </si>
  <si>
    <t>ASV Arsenal O12-1</t>
  </si>
  <si>
    <t>H</t>
  </si>
  <si>
    <t>RODA '23 Rksv O12-1</t>
  </si>
  <si>
    <t>Sportpark RODA '23 Bovenkerk
Noorddammerweg 48 C
1187ZT Amstelveen</t>
  </si>
  <si>
    <t>Scorers</t>
  </si>
  <si>
    <t>Sporting Martinus O12-2</t>
  </si>
  <si>
    <t>Amstelveen/Heemraad O12-1</t>
  </si>
  <si>
    <t>Average</t>
  </si>
  <si>
    <t>Assists</t>
  </si>
  <si>
    <t>Goal contribution</t>
  </si>
  <si>
    <t>Player1</t>
  </si>
  <si>
    <t>Player2</t>
  </si>
  <si>
    <t>Player3</t>
  </si>
  <si>
    <t>showup</t>
  </si>
  <si>
    <t>score</t>
  </si>
  <si>
    <t>assist</t>
  </si>
  <si>
    <t>1,1,1,3</t>
  </si>
  <si>
    <t>1,0,0,1</t>
  </si>
  <si>
    <t>1,1,8,1</t>
  </si>
  <si>
    <t>1,1,2,2</t>
  </si>
  <si>
    <t>0,0,0,0</t>
  </si>
  <si>
    <t>1,1,0,4</t>
  </si>
  <si>
    <t>1,1,4,1</t>
  </si>
  <si>
    <t>1,0,2,0</t>
  </si>
  <si>
    <t>1,1,1,1</t>
  </si>
  <si>
    <t>1,1,2,0</t>
  </si>
  <si>
    <t>1,1,2,1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</si>
</sst>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0"/>
      <color rgb="FF000000"/>
      <name val="Arial"/>
      <scheme val="minor"/>
    </font>
    <font>
      <sz val="10"/>
      <color theme="1"/>
      <name val="Arial"/>
    </font>
    <font>
      <sz val="11"/>
      <color theme="1"/>
      <name val="Arial"/>
    </font>
    <font>
      <sz val="11"/>
      <color theme="1"/>
      <name val="Aptos Narrow"/>
    </font>
    <font>
      <sz val="10"/>
      <color rgb="FFFFFFFF"/>
      <name val="Arial"/>
    </font>
    <font>
      <b/>
      <sz val="11"/>
      <color theme="1"/>
      <name val="Arial"/>
    </font>
    <font>
      <b/>
      <sz val="11"/>
      <color theme="1"/>
      <name val="Aptos Narrow"/>
    </font>
    <font>
      <sz val="10"/>
      <color theme="1"/>
      <name val="Arial"/>
    </font>
    <font>
      <u/>
      <sz val="10"/>
      <color rgb="FF0000FF"/>
      <name val="Arial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0097CC"/>
        <bgColor rgb="FF0097CC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D9F1F3"/>
        <bgColor rgb="FFD9F1F3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1" xfId="0" applyFont="1" applyBorder="1"/>
    <xf numFmtId="0" fontId="2" fillId="2" borderId="2" xfId="0" applyFont="1" applyFill="1" applyBorder="1"/>
    <xf numFmtId="0" fontId="1" fillId="0" borderId="3" xfId="0" applyFont="1" applyBorder="1"/>
    <xf numFmtId="0" fontId="2" fillId="3" borderId="1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right"/>
    </xf>
    <xf numFmtId="0" fontId="1" fillId="0" borderId="0" xfId="0" applyFont="1"/>
    <xf numFmtId="0" fontId="4" fillId="0" borderId="0" xfId="0" applyFont="1" applyAlignment="1">
      <alignment horizontal="right"/>
    </xf>
    <xf numFmtId="0" fontId="2" fillId="2" borderId="6" xfId="0" applyFont="1" applyFill="1" applyBorder="1"/>
    <xf numFmtId="0" fontId="3" fillId="2" borderId="7" xfId="0" applyFont="1" applyFill="1" applyBorder="1" applyAlignment="1">
      <alignment horizontal="right"/>
    </xf>
    <xf numFmtId="0" fontId="1" fillId="0" borderId="1" xfId="0" applyFont="1" applyBorder="1" applyAlignment="1">
      <alignment horizontal="right" wrapText="1"/>
    </xf>
    <xf numFmtId="0" fontId="2" fillId="2" borderId="8" xfId="0" applyFont="1" applyFill="1" applyBorder="1"/>
    <xf numFmtId="0" fontId="3" fillId="2" borderId="9" xfId="0" applyFont="1" applyFill="1" applyBorder="1" applyAlignment="1">
      <alignment horizontal="right"/>
    </xf>
    <xf numFmtId="10" fontId="1" fillId="0" borderId="0" xfId="0" applyNumberFormat="1" applyFont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/>
    <xf numFmtId="16" fontId="2" fillId="0" borderId="1" xfId="0" applyNumberFormat="1" applyFont="1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8" fillId="0" borderId="1" xfId="0" applyFont="1" applyBorder="1"/>
    <xf numFmtId="0" fontId="3" fillId="5" borderId="1" xfId="0" applyFont="1" applyFill="1" applyBorder="1" applyAlignment="1">
      <alignment horizontal="center"/>
    </xf>
    <xf numFmtId="9" fontId="1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3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right"/>
    </xf>
    <xf numFmtId="0" fontId="1" fillId="0" borderId="0" xfId="0" applyFont="1" applyAlignment="1">
      <alignment horizontal="right"/>
    </xf>
    <xf numFmtId="0" fontId="2" fillId="3" borderId="5" xfId="0" applyFont="1" applyFill="1" applyBorder="1" applyAlignment="1">
      <alignment horizontal="center"/>
    </xf>
    <xf numFmtId="0" fontId="9" fillId="0" borderId="1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openxmlformats.org/officeDocument/2006/relationships/sheetMetadata" Target="metadata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ournifyapp.com/live/nvckickoffzomer26/team/0w4Op0PEqwM2THnzqA6B" TargetMode="External"/><Relationship Id="rId2" Type="http://schemas.openxmlformats.org/officeDocument/2006/relationships/hyperlink" Target="https://tournifyapp.com/live/nvckickoffzomer26/team/0w4Op0PEqwM2THnzqA6B" TargetMode="External"/><Relationship Id="rId1" Type="http://schemas.openxmlformats.org/officeDocument/2006/relationships/hyperlink" Target="https://tournifyapp.com/live/nvckickoffzomer26/team/0w4Op0PEqwM2THnzqA6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988"/>
  <sheetViews>
    <sheetView tabSelected="1" workbookViewId="0"/>
  </sheetViews>
  <sheetFormatPr defaultColWidth="12.5703125" defaultRowHeight="15" customHeight="1" x14ac:dyDescent="0.2"/>
  <cols>
    <col min="3" max="3" width="28.85546875" customWidth="1"/>
    <col min="5" max="6" width="7.5703125" customWidth="1"/>
    <col min="7" max="7" width="23.7109375" customWidth="1"/>
    <col min="8" max="8" width="33" customWidth="1"/>
  </cols>
  <sheetData>
    <row r="1" spans="1:30" x14ac:dyDescent="0.25">
      <c r="A1" s="2" t="s">
        <v>0</v>
      </c>
      <c r="B1" s="5">
        <f>SUM(COUNTIF(J11:J40,"W"),COUNTIF(J11:J40,"D"),COUNTIF(J11:J40,"L"))</f>
        <v>5</v>
      </c>
      <c r="C1" s="6"/>
      <c r="D1" s="7">
        <v>123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spans="1:30" x14ac:dyDescent="0.25">
      <c r="A2" s="8" t="s">
        <v>13</v>
      </c>
      <c r="B2" s="9">
        <f>COUNTIF(J11:J40,"W")</f>
        <v>2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spans="1:30" x14ac:dyDescent="0.25">
      <c r="A3" s="8" t="s">
        <v>14</v>
      </c>
      <c r="B3" s="9">
        <f>COUNTIF(J11:J40,"L")</f>
        <v>3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0" x14ac:dyDescent="0.25">
      <c r="A4" s="8" t="s">
        <v>15</v>
      </c>
      <c r="B4" s="9">
        <f>COUNTIF(J11:J40,"D")</f>
        <v>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</row>
    <row r="5" spans="1:30" x14ac:dyDescent="0.25">
      <c r="A5" s="8" t="s">
        <v>16</v>
      </c>
      <c r="B5" s="9">
        <f>B2*3+B4</f>
        <v>6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</row>
    <row r="6" spans="1:30" x14ac:dyDescent="0.25">
      <c r="A6" s="8" t="s">
        <v>17</v>
      </c>
      <c r="B6" s="9">
        <f>B7-B8</f>
        <v>14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</row>
    <row r="7" spans="1:30" x14ac:dyDescent="0.25">
      <c r="A7" s="8" t="s">
        <v>18</v>
      </c>
      <c r="B7" s="9">
        <f>SUM(K11:K40)</f>
        <v>28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spans="1:30" x14ac:dyDescent="0.25">
      <c r="A8" s="11" t="s">
        <v>19</v>
      </c>
      <c r="B8" s="12">
        <f>SUM(L11:L40)</f>
        <v>14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spans="1:30" ht="12.75" x14ac:dyDescent="0.2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13"/>
      <c r="O9" s="13"/>
      <c r="P9" s="13"/>
      <c r="Q9" s="6"/>
      <c r="R9" s="6"/>
      <c r="S9" s="6"/>
      <c r="T9" s="6"/>
      <c r="U9" s="6"/>
      <c r="V9" s="6"/>
      <c r="W9" s="13"/>
      <c r="X9" s="13"/>
      <c r="Y9" s="13"/>
      <c r="Z9" s="6"/>
      <c r="AA9" s="6"/>
      <c r="AB9" s="6"/>
      <c r="AC9" s="6"/>
      <c r="AD9" s="6"/>
    </row>
    <row r="10" spans="1:30" x14ac:dyDescent="0.25">
      <c r="A10" s="14" t="s">
        <v>20</v>
      </c>
      <c r="B10" s="14" t="s">
        <v>21</v>
      </c>
      <c r="C10" s="14" t="s">
        <v>22</v>
      </c>
      <c r="D10" s="15" t="s">
        <v>23</v>
      </c>
      <c r="E10" s="15" t="s">
        <v>24</v>
      </c>
      <c r="F10" s="14" t="s">
        <v>25</v>
      </c>
      <c r="G10" s="15" t="s">
        <v>26</v>
      </c>
      <c r="H10" s="14" t="s">
        <v>27</v>
      </c>
      <c r="I10" s="15" t="s">
        <v>28</v>
      </c>
      <c r="J10" s="14" t="s">
        <v>29</v>
      </c>
      <c r="K10" s="15" t="s">
        <v>18</v>
      </c>
      <c r="L10" s="15" t="s">
        <v>30</v>
      </c>
      <c r="M10" s="15" t="s">
        <v>31</v>
      </c>
      <c r="N10" s="4" t="s">
        <v>1</v>
      </c>
      <c r="O10" s="4" t="s">
        <v>2</v>
      </c>
      <c r="P10" s="4" t="s">
        <v>3</v>
      </c>
      <c r="Q10" s="4" t="s">
        <v>4</v>
      </c>
      <c r="R10" s="4" t="s">
        <v>6</v>
      </c>
      <c r="S10" s="4" t="s">
        <v>7</v>
      </c>
      <c r="T10" s="4" t="s">
        <v>8</v>
      </c>
      <c r="U10" s="4" t="s">
        <v>9</v>
      </c>
      <c r="V10" s="4" t="s">
        <v>10</v>
      </c>
      <c r="W10" s="16" t="s">
        <v>32</v>
      </c>
      <c r="AD10" s="6"/>
    </row>
    <row r="11" spans="1:30" x14ac:dyDescent="0.25">
      <c r="A11" s="17">
        <f>IF(ISBLANK(B11),"",1)</f>
        <v>1</v>
      </c>
      <c r="B11" s="18">
        <v>1</v>
      </c>
      <c r="C11" s="19" t="s">
        <v>33</v>
      </c>
      <c r="D11" s="20">
        <v>46256</v>
      </c>
      <c r="E11" s="21">
        <v>0.55555555555555558</v>
      </c>
      <c r="F11" s="22" t="s">
        <v>34</v>
      </c>
      <c r="G11" s="18" t="s">
        <v>35</v>
      </c>
      <c r="H11" s="18" t="s">
        <v>33</v>
      </c>
      <c r="I11" s="18" t="s">
        <v>36</v>
      </c>
      <c r="J11" s="17" t="str">
        <f t="shared" ref="J11:J40" si="0">IF(AND(NOT(ISBLANK(K11)),NOT(ISBLANK(L11))),IF(K11&gt;L11,"W",IF(K11&lt;L11,"L","D")),"")</f>
        <v>L</v>
      </c>
      <c r="K11" s="23" cm="1">
        <f t="array" ref="K11">IF(L11&lt;&gt;"", SUMPRODUCT(MID(N11:W11,5,1)*1), "")</f>
        <v>1</v>
      </c>
      <c r="L11" s="18">
        <v>2</v>
      </c>
      <c r="M11" s="23" cm="1">
        <f t="array" ref="M11">IF(L11&lt;&gt;"", SUMPRODUCT(LEFT(N11:W11,1)*1), "")</f>
        <v>9</v>
      </c>
      <c r="N11" s="16" t="s">
        <v>38</v>
      </c>
      <c r="O11" s="16" t="s">
        <v>39</v>
      </c>
      <c r="P11" s="16" t="s">
        <v>38</v>
      </c>
      <c r="Q11" s="16" t="s">
        <v>39</v>
      </c>
      <c r="R11" s="16" t="s">
        <v>40</v>
      </c>
      <c r="S11" s="16" t="s">
        <v>39</v>
      </c>
      <c r="T11" s="16" t="s">
        <v>39</v>
      </c>
      <c r="U11" s="16" t="s">
        <v>39</v>
      </c>
      <c r="V11" s="16" t="s">
        <v>39</v>
      </c>
      <c r="W11" s="16" t="s">
        <v>69</v>
      </c>
      <c r="AD11" s="6"/>
    </row>
    <row r="12" spans="1:30" x14ac:dyDescent="0.25">
      <c r="A12" s="17">
        <f t="shared" ref="A12:A40" si="1">IF(ISBLANK(B12),"",A11+1)</f>
        <v>2</v>
      </c>
      <c r="B12" s="18">
        <v>1</v>
      </c>
      <c r="C12" s="19" t="s">
        <v>33</v>
      </c>
      <c r="D12" s="20">
        <v>46256</v>
      </c>
      <c r="E12" s="21">
        <v>0.59722222222222221</v>
      </c>
      <c r="F12" s="22" t="s">
        <v>34</v>
      </c>
      <c r="G12" s="18" t="s">
        <v>41</v>
      </c>
      <c r="H12" s="18" t="s">
        <v>33</v>
      </c>
      <c r="I12" s="18" t="s">
        <v>36</v>
      </c>
      <c r="J12" s="17" t="str">
        <f t="shared" si="0"/>
        <v>L</v>
      </c>
      <c r="K12" s="23" cm="1">
        <f t="array" ref="K12">IF(L12&lt;&gt;"", SUMPRODUCT(MID(N12:W12,5,1)*1), "")</f>
        <v>0</v>
      </c>
      <c r="L12" s="18">
        <v>1</v>
      </c>
      <c r="M12" s="23" cm="1">
        <f t="array" ref="M12">IF(L12&lt;&gt;"", SUMPRODUCT(LEFT(N12:W12,1)*1), "")</f>
        <v>9</v>
      </c>
      <c r="N12" s="16" t="s">
        <v>39</v>
      </c>
      <c r="O12" s="16" t="s">
        <v>39</v>
      </c>
      <c r="P12" s="16" t="s">
        <v>39</v>
      </c>
      <c r="Q12" s="16" t="s">
        <v>38</v>
      </c>
      <c r="R12" s="16" t="s">
        <v>39</v>
      </c>
      <c r="S12" s="16" t="s">
        <v>39</v>
      </c>
      <c r="T12" s="16" t="s">
        <v>39</v>
      </c>
      <c r="U12" s="16" t="s">
        <v>38</v>
      </c>
      <c r="V12" s="16" t="s">
        <v>39</v>
      </c>
      <c r="W12" s="16" t="s">
        <v>69</v>
      </c>
      <c r="AD12" s="6"/>
    </row>
    <row r="13" spans="1:30" x14ac:dyDescent="0.25">
      <c r="A13" s="17">
        <f t="shared" si="1"/>
        <v>3</v>
      </c>
      <c r="B13" s="18">
        <v>1</v>
      </c>
      <c r="C13" s="19" t="s">
        <v>33</v>
      </c>
      <c r="D13" s="20">
        <v>46256</v>
      </c>
      <c r="E13" s="21">
        <v>0.63888888888888884</v>
      </c>
      <c r="F13" s="22" t="s">
        <v>34</v>
      </c>
      <c r="G13" s="18" t="s">
        <v>43</v>
      </c>
      <c r="H13" s="18" t="s">
        <v>33</v>
      </c>
      <c r="I13" s="18" t="s">
        <v>36</v>
      </c>
      <c r="J13" s="17" t="str">
        <f t="shared" si="0"/>
        <v>L</v>
      </c>
      <c r="K13" s="23" cm="1">
        <f t="array" ref="K13">IF(L13&lt;&gt;"", SUMPRODUCT(MID(N13:W13,5,1)*1), "")</f>
        <v>1</v>
      </c>
      <c r="L13" s="18">
        <v>3</v>
      </c>
      <c r="M13" s="23" cm="1">
        <f t="array" ref="M13">IF(L13&lt;&gt;"", SUMPRODUCT(LEFT(N13:W13,1)*1), "")</f>
        <v>9</v>
      </c>
      <c r="N13" s="16" t="s">
        <v>39</v>
      </c>
      <c r="O13" s="16" t="s">
        <v>44</v>
      </c>
      <c r="P13" s="16" t="s">
        <v>39</v>
      </c>
      <c r="Q13" s="16" t="s">
        <v>39</v>
      </c>
      <c r="R13" s="16" t="s">
        <v>45</v>
      </c>
      <c r="S13" s="16" t="s">
        <v>39</v>
      </c>
      <c r="T13" s="16" t="s">
        <v>39</v>
      </c>
      <c r="U13" s="16" t="s">
        <v>39</v>
      </c>
      <c r="V13" s="16" t="s">
        <v>39</v>
      </c>
      <c r="W13" s="16" t="s">
        <v>69</v>
      </c>
      <c r="AD13" s="6"/>
    </row>
    <row r="14" spans="1:30" x14ac:dyDescent="0.25">
      <c r="A14" s="17">
        <f t="shared" si="1"/>
        <v>4</v>
      </c>
      <c r="B14" s="18">
        <v>1</v>
      </c>
      <c r="C14" s="19" t="s">
        <v>46</v>
      </c>
      <c r="D14" s="20">
        <v>46270</v>
      </c>
      <c r="E14" s="21">
        <v>0.41666666666666669</v>
      </c>
      <c r="F14" s="18"/>
      <c r="G14" s="18" t="s">
        <v>47</v>
      </c>
      <c r="H14" s="18" t="s">
        <v>48</v>
      </c>
      <c r="I14" s="18" t="s">
        <v>36</v>
      </c>
      <c r="J14" s="17" t="str">
        <f t="shared" si="0"/>
        <v>W</v>
      </c>
      <c r="K14" s="23" cm="1">
        <f t="array" ref="K14">IF(L14&lt;&gt;"", SUMPRODUCT(MID(N14:W14,5,1)*1), "")</f>
        <v>12</v>
      </c>
      <c r="L14" s="26">
        <v>5</v>
      </c>
      <c r="M14" s="23" cm="1">
        <f t="array" ref="M14">IF(L14&lt;&gt;"", SUMPRODUCT(LEFT(N14:W14,1)*1), "")</f>
        <v>9</v>
      </c>
      <c r="N14" s="16" t="s">
        <v>39</v>
      </c>
      <c r="O14" s="16" t="s">
        <v>65</v>
      </c>
      <c r="P14" s="16" t="s">
        <v>66</v>
      </c>
      <c r="Q14" s="16" t="s">
        <v>39</v>
      </c>
      <c r="R14" s="16" t="s">
        <v>67</v>
      </c>
      <c r="S14" s="16" t="s">
        <v>40</v>
      </c>
      <c r="T14" s="16" t="s">
        <v>39</v>
      </c>
      <c r="U14" s="16" t="s">
        <v>68</v>
      </c>
      <c r="V14" s="16" t="s">
        <v>39</v>
      </c>
      <c r="W14" s="16" t="s">
        <v>69</v>
      </c>
      <c r="AD14" s="6"/>
    </row>
    <row r="15" spans="1:30" x14ac:dyDescent="0.25">
      <c r="A15" s="17">
        <f t="shared" si="1"/>
        <v>5</v>
      </c>
      <c r="B15" s="18">
        <v>1</v>
      </c>
      <c r="C15" s="19" t="s">
        <v>46</v>
      </c>
      <c r="D15" s="20">
        <v>46277</v>
      </c>
      <c r="E15" s="21">
        <v>0.375</v>
      </c>
      <c r="F15" s="18"/>
      <c r="G15" s="18" t="s">
        <v>49</v>
      </c>
      <c r="H15" s="18"/>
      <c r="I15" s="18" t="s">
        <v>50</v>
      </c>
      <c r="J15" s="17" t="str">
        <f t="shared" si="0"/>
        <v>W</v>
      </c>
      <c r="K15" s="23" cm="1">
        <f t="array" ref="K15">IF(L15&lt;&gt;"", SUMPRODUCT(MID(N15:W15,5,1)*1), "")</f>
        <v>14</v>
      </c>
      <c r="L15" s="26">
        <v>3</v>
      </c>
      <c r="M15" s="23" cm="1">
        <f t="array" ref="M15">IF(L15&lt;&gt;"", SUMPRODUCT(LEFT(N15:W15,1)*1), "")</f>
        <v>9</v>
      </c>
      <c r="N15" s="16" t="s">
        <v>70</v>
      </c>
      <c r="O15" s="16" t="s">
        <v>71</v>
      </c>
      <c r="P15" s="16" t="s">
        <v>72</v>
      </c>
      <c r="Q15" s="16" t="s">
        <v>73</v>
      </c>
      <c r="R15" s="16" t="s">
        <v>40</v>
      </c>
      <c r="S15" s="16" t="s">
        <v>39</v>
      </c>
      <c r="T15" s="16" t="s">
        <v>69</v>
      </c>
      <c r="U15" s="16" t="s">
        <v>74</v>
      </c>
      <c r="V15" s="16" t="s">
        <v>75</v>
      </c>
      <c r="W15" s="16" t="s">
        <v>74</v>
      </c>
      <c r="AD15" s="6"/>
    </row>
    <row r="16" spans="1:30" ht="16.5" customHeight="1" x14ac:dyDescent="0.25">
      <c r="A16" s="17">
        <f t="shared" si="1"/>
        <v>6</v>
      </c>
      <c r="B16" s="18">
        <v>1</v>
      </c>
      <c r="C16" s="19" t="s">
        <v>46</v>
      </c>
      <c r="D16" s="20">
        <v>46284</v>
      </c>
      <c r="E16" s="21">
        <v>0.4375</v>
      </c>
      <c r="F16" s="18"/>
      <c r="G16" s="18" t="s">
        <v>51</v>
      </c>
      <c r="H16" s="18" t="s">
        <v>52</v>
      </c>
      <c r="I16" s="18" t="s">
        <v>36</v>
      </c>
      <c r="J16" s="17" t="str">
        <f t="shared" si="0"/>
        <v/>
      </c>
      <c r="K16" s="23" t="str" cm="1">
        <f t="array" ref="K16">IF(L16&lt;&gt;"", SUMPRODUCT(MID(N16:W16,5,1)*1), "")</f>
        <v/>
      </c>
      <c r="L16" s="26"/>
      <c r="M16" s="23" t="str" cm="1">
        <f t="array" ref="M16">IF(L16&lt;&gt;"", SUMPRODUCT(LEFT(N16:W16,1)*1), "")</f>
        <v/>
      </c>
      <c r="N16" s="16"/>
      <c r="O16" s="16"/>
      <c r="P16" s="16"/>
      <c r="Q16" s="16"/>
      <c r="R16" s="16"/>
      <c r="S16" s="16"/>
      <c r="T16" s="16"/>
      <c r="U16" s="16"/>
      <c r="V16" s="16"/>
      <c r="W16" s="16"/>
      <c r="AD16" s="6"/>
    </row>
    <row r="17" spans="1:30" x14ac:dyDescent="0.25">
      <c r="A17" s="17">
        <f t="shared" si="1"/>
        <v>7</v>
      </c>
      <c r="B17" s="18">
        <v>1</v>
      </c>
      <c r="C17" s="19" t="s">
        <v>46</v>
      </c>
      <c r="D17" s="20">
        <v>46291</v>
      </c>
      <c r="E17" s="21">
        <v>0.375</v>
      </c>
      <c r="F17" s="18"/>
      <c r="G17" s="18" t="s">
        <v>54</v>
      </c>
      <c r="H17" s="18"/>
      <c r="I17" s="18" t="s">
        <v>50</v>
      </c>
      <c r="J17" s="17" t="str">
        <f t="shared" si="0"/>
        <v/>
      </c>
      <c r="K17" s="23" t="str" cm="1">
        <f t="array" ref="K17">IF(L17&lt;&gt;"", SUMPRODUCT(MID(N17:W17,5,1)*1), "")</f>
        <v/>
      </c>
      <c r="L17" s="26"/>
      <c r="M17" s="23" t="str" cm="1">
        <f t="array" ref="M17">IF(L17&lt;&gt;"", SUMPRODUCT(LEFT(N17:W17,1)*1), "")</f>
        <v/>
      </c>
      <c r="N17" s="16"/>
      <c r="O17" s="16"/>
      <c r="P17" s="16"/>
      <c r="Q17" s="16"/>
      <c r="R17" s="16"/>
      <c r="S17" s="16"/>
      <c r="T17" s="16"/>
      <c r="U17" s="16"/>
      <c r="V17" s="16"/>
      <c r="W17" s="16"/>
      <c r="AD17" s="6"/>
    </row>
    <row r="18" spans="1:30" x14ac:dyDescent="0.25">
      <c r="A18" s="17">
        <f t="shared" si="1"/>
        <v>8</v>
      </c>
      <c r="B18" s="18">
        <v>1</v>
      </c>
      <c r="C18" s="19" t="s">
        <v>46</v>
      </c>
      <c r="D18" s="20">
        <v>46298</v>
      </c>
      <c r="E18" s="21">
        <v>0.375</v>
      </c>
      <c r="F18" s="18"/>
      <c r="G18" s="18" t="s">
        <v>55</v>
      </c>
      <c r="H18" s="18"/>
      <c r="I18" s="18" t="s">
        <v>50</v>
      </c>
      <c r="J18" s="17" t="str">
        <f t="shared" si="0"/>
        <v/>
      </c>
      <c r="K18" s="23" t="str" cm="1">
        <f t="array" ref="K18">IF(L18&lt;&gt;"", SUMPRODUCT(MID(N18:W18,5,1)*1), "")</f>
        <v/>
      </c>
      <c r="L18" s="26"/>
      <c r="M18" s="23" t="str" cm="1">
        <f t="array" ref="M18">IF(L18&lt;&gt;"", SUMPRODUCT(LEFT(N18:W18,1)*1), "")</f>
        <v/>
      </c>
      <c r="N18" s="16"/>
      <c r="O18" s="16"/>
      <c r="P18" s="16"/>
      <c r="Q18" s="16"/>
      <c r="R18" s="16"/>
      <c r="S18" s="16"/>
      <c r="T18" s="16"/>
      <c r="U18" s="16"/>
      <c r="V18" s="16"/>
      <c r="W18" s="16"/>
      <c r="AD18" s="6"/>
    </row>
    <row r="19" spans="1:30" x14ac:dyDescent="0.25">
      <c r="A19" s="17" t="str">
        <f t="shared" si="1"/>
        <v/>
      </c>
      <c r="B19" s="1"/>
      <c r="C19" s="1"/>
      <c r="D19" s="1"/>
      <c r="E19" s="1"/>
      <c r="F19" s="1"/>
      <c r="G19" s="1"/>
      <c r="H19" s="1"/>
      <c r="I19" s="1"/>
      <c r="J19" s="17" t="str">
        <f t="shared" si="0"/>
        <v/>
      </c>
      <c r="K19" s="23" t="str" cm="1">
        <f t="array" ref="K19">IF(L19&lt;&gt;"", SUMPRODUCT(MID(N19:W19,5,1)*1), "")</f>
        <v/>
      </c>
      <c r="L19" s="26"/>
      <c r="M19" s="23" t="str" cm="1">
        <f t="array" ref="M19">IF(L19&lt;&gt;"", SUMPRODUCT(LEFT(N19:W19,1)*1), "")</f>
        <v/>
      </c>
      <c r="N19" s="16"/>
      <c r="O19" s="16"/>
      <c r="P19" s="16"/>
      <c r="Q19" s="16"/>
      <c r="R19" s="16"/>
      <c r="S19" s="16"/>
      <c r="T19" s="16"/>
      <c r="U19" s="16"/>
      <c r="V19" s="16"/>
      <c r="W19" s="16"/>
      <c r="AD19" s="6"/>
    </row>
    <row r="20" spans="1:30" x14ac:dyDescent="0.25">
      <c r="A20" s="17" t="str">
        <f t="shared" si="1"/>
        <v/>
      </c>
      <c r="B20" s="1"/>
      <c r="C20" s="1"/>
      <c r="D20" s="1"/>
      <c r="E20" s="1"/>
      <c r="F20" s="1"/>
      <c r="G20" s="1"/>
      <c r="H20" s="1"/>
      <c r="I20" s="1"/>
      <c r="J20" s="17" t="str">
        <f t="shared" si="0"/>
        <v/>
      </c>
      <c r="K20" s="23" t="str" cm="1">
        <f t="array" ref="K20">IF(L20&lt;&gt;"", SUMPRODUCT(MID(N20:W20,5,1)*1), "")</f>
        <v/>
      </c>
      <c r="L20" s="26"/>
      <c r="M20" s="23" t="str" cm="1">
        <f t="array" ref="M20">IF(L20&lt;&gt;"", SUMPRODUCT(LEFT(N20:W20,1)*1), "")</f>
        <v/>
      </c>
      <c r="N20" s="16"/>
      <c r="O20" s="16"/>
      <c r="P20" s="16"/>
      <c r="Q20" s="16"/>
      <c r="R20" s="16"/>
      <c r="S20" s="16"/>
      <c r="T20" s="16"/>
      <c r="U20" s="16"/>
      <c r="V20" s="16"/>
      <c r="W20" s="16"/>
      <c r="AD20" s="6"/>
    </row>
    <row r="21" spans="1:30" x14ac:dyDescent="0.25">
      <c r="A21" s="17" t="str">
        <f t="shared" si="1"/>
        <v/>
      </c>
      <c r="B21" s="1"/>
      <c r="C21" s="1"/>
      <c r="D21" s="1"/>
      <c r="E21" s="1"/>
      <c r="F21" s="1"/>
      <c r="G21" s="1"/>
      <c r="H21" s="1"/>
      <c r="I21" s="1"/>
      <c r="J21" s="17" t="str">
        <f t="shared" si="0"/>
        <v/>
      </c>
      <c r="K21" s="23" t="str" cm="1">
        <f t="array" ref="K21">IF(L21&lt;&gt;"", SUMPRODUCT(MID(N21:W21,5,1)*1), "")</f>
        <v/>
      </c>
      <c r="L21" s="26"/>
      <c r="M21" s="23" t="str" cm="1">
        <f t="array" ref="M21">IF(L21&lt;&gt;"", SUMPRODUCT(LEFT(N21:W21,1)*1), "")</f>
        <v/>
      </c>
      <c r="N21" s="16"/>
      <c r="O21" s="16"/>
      <c r="P21" s="16"/>
      <c r="Q21" s="16"/>
      <c r="R21" s="16"/>
      <c r="S21" s="16"/>
      <c r="T21" s="16"/>
      <c r="U21" s="16"/>
      <c r="V21" s="16"/>
      <c r="W21" s="16"/>
      <c r="AD21" s="6"/>
    </row>
    <row r="22" spans="1:30" x14ac:dyDescent="0.25">
      <c r="A22" s="17" t="str">
        <f t="shared" si="1"/>
        <v/>
      </c>
      <c r="B22" s="1"/>
      <c r="C22" s="1"/>
      <c r="D22" s="1"/>
      <c r="E22" s="1"/>
      <c r="F22" s="1"/>
      <c r="G22" s="1"/>
      <c r="H22" s="1"/>
      <c r="I22" s="1"/>
      <c r="J22" s="17" t="str">
        <f t="shared" si="0"/>
        <v/>
      </c>
      <c r="K22" s="23" t="str" cm="1">
        <f t="array" ref="K22">IF(L22&lt;&gt;"", SUMPRODUCT(MID(N22:W22,5,1)*1), "")</f>
        <v/>
      </c>
      <c r="L22" s="26"/>
      <c r="M22" s="23" t="str" cm="1">
        <f t="array" ref="M22">IF(L22&lt;&gt;"", SUMPRODUCT(LEFT(N22:W22,1)*1), "")</f>
        <v/>
      </c>
      <c r="N22" s="16"/>
      <c r="O22" s="16"/>
      <c r="P22" s="16"/>
      <c r="Q22" s="16"/>
      <c r="R22" s="16"/>
      <c r="S22" s="16"/>
      <c r="T22" s="16"/>
      <c r="U22" s="16"/>
      <c r="V22" s="16"/>
      <c r="W22" s="16"/>
      <c r="AD22" s="6"/>
    </row>
    <row r="23" spans="1:30" x14ac:dyDescent="0.25">
      <c r="A23" s="17" t="str">
        <f t="shared" si="1"/>
        <v/>
      </c>
      <c r="B23" s="1"/>
      <c r="C23" s="1"/>
      <c r="D23" s="1"/>
      <c r="E23" s="1"/>
      <c r="F23" s="1"/>
      <c r="G23" s="1"/>
      <c r="H23" s="1"/>
      <c r="I23" s="1"/>
      <c r="J23" s="17" t="str">
        <f t="shared" si="0"/>
        <v/>
      </c>
      <c r="K23" s="23" t="str" cm="1">
        <f t="array" ref="K23">IF(L23&lt;&gt;"", SUMPRODUCT(MID(N23:W23,5,1)*1), "")</f>
        <v/>
      </c>
      <c r="L23" s="26"/>
      <c r="M23" s="23" t="str" cm="1">
        <f t="array" ref="M23">IF(L23&lt;&gt;"", SUMPRODUCT(LEFT(N23:W23,1)*1), "")</f>
        <v/>
      </c>
      <c r="N23" s="16"/>
      <c r="O23" s="16"/>
      <c r="P23" s="16"/>
      <c r="Q23" s="16"/>
      <c r="R23" s="16"/>
      <c r="S23" s="16"/>
      <c r="T23" s="16"/>
      <c r="U23" s="16"/>
      <c r="V23" s="16"/>
      <c r="W23" s="16"/>
      <c r="AD23" s="6"/>
    </row>
    <row r="24" spans="1:30" x14ac:dyDescent="0.25">
      <c r="A24" s="17" t="str">
        <f t="shared" si="1"/>
        <v/>
      </c>
      <c r="B24" s="1"/>
      <c r="C24" s="1"/>
      <c r="D24" s="1"/>
      <c r="E24" s="1"/>
      <c r="F24" s="1"/>
      <c r="G24" s="1"/>
      <c r="H24" s="1"/>
      <c r="I24" s="1"/>
      <c r="J24" s="17" t="str">
        <f t="shared" si="0"/>
        <v/>
      </c>
      <c r="K24" s="23" t="str" cm="1">
        <f t="array" ref="K24">IF(L24&lt;&gt;"", SUMPRODUCT(MID(N24:W24,5,1)*1), "")</f>
        <v/>
      </c>
      <c r="L24" s="26"/>
      <c r="M24" s="23" t="str" cm="1">
        <f t="array" ref="M24">IF(L24&lt;&gt;"", SUMPRODUCT(LEFT(N24:W24,1)*1), "")</f>
        <v/>
      </c>
      <c r="N24" s="16"/>
      <c r="O24" s="16"/>
      <c r="P24" s="16"/>
      <c r="Q24" s="16"/>
      <c r="R24" s="16"/>
      <c r="S24" s="16"/>
      <c r="T24" s="16"/>
      <c r="U24" s="16"/>
      <c r="V24" s="16"/>
      <c r="W24" s="16"/>
      <c r="AD24" s="6"/>
    </row>
    <row r="25" spans="1:30" x14ac:dyDescent="0.25">
      <c r="A25" s="17" t="str">
        <f t="shared" si="1"/>
        <v/>
      </c>
      <c r="B25" s="1"/>
      <c r="C25" s="1"/>
      <c r="D25" s="1"/>
      <c r="E25" s="1"/>
      <c r="F25" s="1"/>
      <c r="G25" s="1"/>
      <c r="H25" s="1"/>
      <c r="I25" s="1"/>
      <c r="J25" s="17" t="str">
        <f t="shared" si="0"/>
        <v/>
      </c>
      <c r="K25" s="23" t="str" cm="1">
        <f t="array" ref="K25">IF(L25&lt;&gt;"", SUMPRODUCT(MID(N25:W25,5,1)*1), "")</f>
        <v/>
      </c>
      <c r="L25" s="26"/>
      <c r="M25" s="23" t="str" cm="1">
        <f t="array" ref="M25">IF(L25&lt;&gt;"", SUMPRODUCT(LEFT(N25:W25,1)*1), "")</f>
        <v/>
      </c>
      <c r="N25" s="16"/>
      <c r="O25" s="16"/>
      <c r="P25" s="16"/>
      <c r="Q25" s="16"/>
      <c r="R25" s="16"/>
      <c r="S25" s="16"/>
      <c r="T25" s="16"/>
      <c r="U25" s="16"/>
      <c r="V25" s="16"/>
      <c r="W25" s="16"/>
      <c r="AD25" s="6"/>
    </row>
    <row r="26" spans="1:30" x14ac:dyDescent="0.25">
      <c r="A26" s="17" t="str">
        <f t="shared" si="1"/>
        <v/>
      </c>
      <c r="B26" s="1"/>
      <c r="C26" s="1"/>
      <c r="D26" s="1"/>
      <c r="E26" s="1"/>
      <c r="F26" s="1"/>
      <c r="G26" s="1"/>
      <c r="H26" s="1"/>
      <c r="I26" s="1"/>
      <c r="J26" s="17" t="str">
        <f t="shared" si="0"/>
        <v/>
      </c>
      <c r="K26" s="23" t="str" cm="1">
        <f t="array" ref="K26">IF(L26&lt;&gt;"", SUMPRODUCT(MID(N26:W26,5,1)*1), "")</f>
        <v/>
      </c>
      <c r="L26" s="26"/>
      <c r="M26" s="23" t="str" cm="1">
        <f t="array" ref="M26">IF(L26&lt;&gt;"", SUMPRODUCT(LEFT(N26:W26,1)*1), "")</f>
        <v/>
      </c>
      <c r="N26" s="16"/>
      <c r="O26" s="16"/>
      <c r="P26" s="16"/>
      <c r="Q26" s="16"/>
      <c r="R26" s="16"/>
      <c r="S26" s="16"/>
      <c r="T26" s="16"/>
      <c r="U26" s="16"/>
      <c r="V26" s="16"/>
      <c r="W26" s="16"/>
      <c r="AD26" s="6"/>
    </row>
    <row r="27" spans="1:30" x14ac:dyDescent="0.25">
      <c r="A27" s="17" t="str">
        <f t="shared" si="1"/>
        <v/>
      </c>
      <c r="B27" s="1"/>
      <c r="C27" s="1"/>
      <c r="D27" s="1"/>
      <c r="E27" s="1"/>
      <c r="F27" s="1"/>
      <c r="G27" s="1"/>
      <c r="H27" s="1"/>
      <c r="I27" s="1"/>
      <c r="J27" s="17" t="str">
        <f t="shared" si="0"/>
        <v/>
      </c>
      <c r="K27" s="23" t="str" cm="1">
        <f t="array" ref="K27">IF(L27&lt;&gt;"", SUMPRODUCT(MID(N27:W27,5,1)*1), "")</f>
        <v/>
      </c>
      <c r="L27" s="18"/>
      <c r="M27" s="23" t="str" cm="1">
        <f t="array" ref="M27">IF(L27&lt;&gt;"", SUMPRODUCT(LEFT(N27:W27,1)*1), "")</f>
        <v/>
      </c>
      <c r="N27" s="16"/>
      <c r="O27" s="16"/>
      <c r="P27" s="16"/>
      <c r="Q27" s="16"/>
      <c r="R27" s="16"/>
      <c r="S27" s="16"/>
      <c r="T27" s="16"/>
      <c r="U27" s="16"/>
      <c r="V27" s="16"/>
      <c r="W27" s="16"/>
      <c r="AD27" s="6"/>
    </row>
    <row r="28" spans="1:30" x14ac:dyDescent="0.25">
      <c r="A28" s="17" t="str">
        <f t="shared" si="1"/>
        <v/>
      </c>
      <c r="B28" s="1"/>
      <c r="C28" s="1"/>
      <c r="D28" s="1"/>
      <c r="E28" s="1"/>
      <c r="F28" s="1"/>
      <c r="G28" s="1"/>
      <c r="H28" s="1"/>
      <c r="I28" s="1"/>
      <c r="J28" s="17" t="str">
        <f t="shared" si="0"/>
        <v/>
      </c>
      <c r="K28" s="23" t="str" cm="1">
        <f t="array" ref="K28">IF(L28&lt;&gt;"", SUMPRODUCT(MID(N28:W28,5,1)*1), "")</f>
        <v/>
      </c>
      <c r="L28" s="18"/>
      <c r="M28" s="23" t="str" cm="1">
        <f t="array" ref="M28">IF(L28&lt;&gt;"", SUMPRODUCT(LEFT(N28:W28,1)*1), "")</f>
        <v/>
      </c>
      <c r="N28" s="16"/>
      <c r="O28" s="16"/>
      <c r="P28" s="16"/>
      <c r="Q28" s="16"/>
      <c r="R28" s="16"/>
      <c r="S28" s="16"/>
      <c r="T28" s="16"/>
      <c r="U28" s="16"/>
      <c r="V28" s="16"/>
      <c r="W28" s="16"/>
      <c r="AD28" s="6"/>
    </row>
    <row r="29" spans="1:30" x14ac:dyDescent="0.25">
      <c r="A29" s="17" t="str">
        <f t="shared" si="1"/>
        <v/>
      </c>
      <c r="B29" s="1"/>
      <c r="C29" s="1"/>
      <c r="D29" s="1"/>
      <c r="E29" s="1"/>
      <c r="F29" s="1"/>
      <c r="G29" s="1"/>
      <c r="H29" s="1"/>
      <c r="I29" s="1"/>
      <c r="J29" s="17" t="str">
        <f t="shared" si="0"/>
        <v/>
      </c>
      <c r="K29" s="23" t="str" cm="1">
        <f t="array" ref="K29">IF(L29&lt;&gt;"", SUMPRODUCT(MID(N29:W29,5,1)*1), "")</f>
        <v/>
      </c>
      <c r="L29" s="18"/>
      <c r="M29" s="23" t="str" cm="1">
        <f t="array" ref="M29">IF(L29&lt;&gt;"", SUMPRODUCT(LEFT(N29:W29,1)*1), "")</f>
        <v/>
      </c>
      <c r="N29" s="16"/>
      <c r="O29" s="16"/>
      <c r="P29" s="16"/>
      <c r="Q29" s="16"/>
      <c r="R29" s="16"/>
      <c r="S29" s="16"/>
      <c r="T29" s="16"/>
      <c r="U29" s="16"/>
      <c r="V29" s="16"/>
      <c r="W29" s="16"/>
      <c r="AD29" s="6"/>
    </row>
    <row r="30" spans="1:30" x14ac:dyDescent="0.25">
      <c r="A30" s="17" t="str">
        <f t="shared" si="1"/>
        <v/>
      </c>
      <c r="B30" s="1"/>
      <c r="C30" s="1"/>
      <c r="D30" s="1"/>
      <c r="E30" s="1"/>
      <c r="F30" s="1"/>
      <c r="G30" s="1"/>
      <c r="H30" s="1"/>
      <c r="I30" s="1"/>
      <c r="J30" s="17" t="str">
        <f t="shared" si="0"/>
        <v/>
      </c>
      <c r="K30" s="23" t="str" cm="1">
        <f t="array" ref="K30">IF(L30&lt;&gt;"", SUMPRODUCT(MID(N30:W30,5,1)*1), "")</f>
        <v/>
      </c>
      <c r="L30" s="18"/>
      <c r="M30" s="23" t="str" cm="1">
        <f t="array" ref="M30">IF(L30&lt;&gt;"", SUMPRODUCT(LEFT(N30:W30,1)*1), "")</f>
        <v/>
      </c>
      <c r="N30" s="16"/>
      <c r="O30" s="16"/>
      <c r="P30" s="16"/>
      <c r="Q30" s="16"/>
      <c r="R30" s="16"/>
      <c r="S30" s="16"/>
      <c r="T30" s="16"/>
      <c r="U30" s="16"/>
      <c r="V30" s="16"/>
      <c r="W30" s="16"/>
      <c r="AD30" s="6"/>
    </row>
    <row r="31" spans="1:30" x14ac:dyDescent="0.25">
      <c r="A31" s="17" t="str">
        <f t="shared" si="1"/>
        <v/>
      </c>
      <c r="B31" s="1"/>
      <c r="C31" s="1"/>
      <c r="D31" s="1"/>
      <c r="E31" s="1"/>
      <c r="F31" s="1"/>
      <c r="G31" s="1"/>
      <c r="H31" s="1"/>
      <c r="I31" s="1"/>
      <c r="J31" s="17" t="str">
        <f t="shared" si="0"/>
        <v/>
      </c>
      <c r="K31" s="23" t="str" cm="1">
        <f t="array" ref="K31">IF(L31&lt;&gt;"", SUMPRODUCT(MID(N31:W31,5,1)*1), "")</f>
        <v/>
      </c>
      <c r="L31" s="18"/>
      <c r="M31" s="23" t="str" cm="1">
        <f t="array" ref="M31">IF(L31&lt;&gt;"", SUMPRODUCT(LEFT(N31:W31,1)*1), "")</f>
        <v/>
      </c>
      <c r="N31" s="16"/>
      <c r="O31" s="16"/>
      <c r="P31" s="16"/>
      <c r="Q31" s="16"/>
      <c r="R31" s="16"/>
      <c r="S31" s="16"/>
      <c r="T31" s="16"/>
      <c r="U31" s="16"/>
      <c r="V31" s="16"/>
      <c r="W31" s="16"/>
      <c r="AD31" s="6"/>
    </row>
    <row r="32" spans="1:30" x14ac:dyDescent="0.25">
      <c r="A32" s="17" t="str">
        <f t="shared" si="1"/>
        <v/>
      </c>
      <c r="B32" s="1"/>
      <c r="C32" s="1"/>
      <c r="D32" s="1"/>
      <c r="E32" s="1"/>
      <c r="F32" s="1"/>
      <c r="G32" s="1"/>
      <c r="H32" s="1"/>
      <c r="I32" s="1"/>
      <c r="J32" s="17" t="str">
        <f t="shared" si="0"/>
        <v/>
      </c>
      <c r="K32" s="23" t="str" cm="1">
        <f t="array" ref="K32">IF(L32&lt;&gt;"", SUMPRODUCT(MID(N32:W32,5,1)*1), "")</f>
        <v/>
      </c>
      <c r="L32" s="18"/>
      <c r="M32" s="23" t="str" cm="1">
        <f t="array" ref="M32">IF(L32&lt;&gt;"", SUMPRODUCT(LEFT(N32:W32,1)*1), "")</f>
        <v/>
      </c>
      <c r="N32" s="16"/>
      <c r="O32" s="16"/>
      <c r="P32" s="16"/>
      <c r="Q32" s="16"/>
      <c r="R32" s="16"/>
      <c r="S32" s="16"/>
      <c r="T32" s="16"/>
      <c r="U32" s="16"/>
      <c r="V32" s="16"/>
      <c r="W32" s="16"/>
      <c r="AD32" s="6"/>
    </row>
    <row r="33" spans="1:30" x14ac:dyDescent="0.25">
      <c r="A33" s="17" t="str">
        <f t="shared" si="1"/>
        <v/>
      </c>
      <c r="B33" s="1"/>
      <c r="C33" s="1"/>
      <c r="D33" s="1"/>
      <c r="E33" s="1"/>
      <c r="F33" s="1"/>
      <c r="G33" s="1"/>
      <c r="H33" s="1"/>
      <c r="I33" s="1"/>
      <c r="J33" s="17" t="str">
        <f t="shared" si="0"/>
        <v/>
      </c>
      <c r="K33" s="23" t="str" cm="1">
        <f t="array" ref="K33">IF(L33&lt;&gt;"", SUMPRODUCT(MID(N33:W33,5,1)*1), "")</f>
        <v/>
      </c>
      <c r="L33" s="18"/>
      <c r="M33" s="23" t="str" cm="1">
        <f t="array" ref="M33">IF(L33&lt;&gt;"", SUMPRODUCT(LEFT(N33:W33,1)*1), "")</f>
        <v/>
      </c>
      <c r="N33" s="16"/>
      <c r="O33" s="16"/>
      <c r="P33" s="16"/>
      <c r="Q33" s="16"/>
      <c r="R33" s="16"/>
      <c r="S33" s="16"/>
      <c r="T33" s="16"/>
      <c r="U33" s="16"/>
      <c r="V33" s="16"/>
      <c r="W33" s="16"/>
      <c r="AD33" s="6"/>
    </row>
    <row r="34" spans="1:30" x14ac:dyDescent="0.25">
      <c r="A34" s="17" t="str">
        <f t="shared" si="1"/>
        <v/>
      </c>
      <c r="B34" s="1"/>
      <c r="C34" s="1"/>
      <c r="D34" s="1"/>
      <c r="E34" s="1"/>
      <c r="F34" s="1"/>
      <c r="G34" s="1"/>
      <c r="H34" s="1"/>
      <c r="I34" s="1"/>
      <c r="J34" s="17" t="str">
        <f t="shared" si="0"/>
        <v/>
      </c>
      <c r="K34" s="23" t="str" cm="1">
        <f t="array" ref="K34">IF(L34&lt;&gt;"", SUMPRODUCT(MID(N34:W34,5,1)*1), "")</f>
        <v/>
      </c>
      <c r="L34" s="18"/>
      <c r="M34" s="23" t="str" cm="1">
        <f t="array" ref="M34">IF(L34&lt;&gt;"", SUMPRODUCT(LEFT(N34:W34,1)*1), "")</f>
        <v/>
      </c>
      <c r="N34" s="16"/>
      <c r="O34" s="16"/>
      <c r="P34" s="16"/>
      <c r="Q34" s="16"/>
      <c r="R34" s="16"/>
      <c r="S34" s="16"/>
      <c r="T34" s="16"/>
      <c r="U34" s="16"/>
      <c r="V34" s="16"/>
      <c r="W34" s="16"/>
      <c r="AD34" s="6"/>
    </row>
    <row r="35" spans="1:30" x14ac:dyDescent="0.25">
      <c r="A35" s="17" t="str">
        <f t="shared" si="1"/>
        <v/>
      </c>
      <c r="B35" s="1"/>
      <c r="C35" s="1"/>
      <c r="D35" s="1"/>
      <c r="E35" s="1"/>
      <c r="F35" s="1"/>
      <c r="G35" s="1"/>
      <c r="H35" s="1"/>
      <c r="I35" s="1"/>
      <c r="J35" s="17" t="str">
        <f t="shared" si="0"/>
        <v/>
      </c>
      <c r="K35" s="23" t="str" cm="1">
        <f t="array" ref="K35">IF(L35&lt;&gt;"", SUMPRODUCT(MID(N35:W35,5,1)*1), "")</f>
        <v/>
      </c>
      <c r="L35" s="18"/>
      <c r="M35" s="23" t="str" cm="1">
        <f t="array" ref="M35">IF(L35&lt;&gt;"", SUMPRODUCT(LEFT(N35:W35,1)*1), "")</f>
        <v/>
      </c>
      <c r="N35" s="16"/>
      <c r="O35" s="16"/>
      <c r="P35" s="16"/>
      <c r="Q35" s="16"/>
      <c r="R35" s="16"/>
      <c r="S35" s="16"/>
      <c r="T35" s="16"/>
      <c r="U35" s="16"/>
      <c r="V35" s="16"/>
      <c r="W35" s="16"/>
      <c r="AD35" s="6"/>
    </row>
    <row r="36" spans="1:30" x14ac:dyDescent="0.25">
      <c r="A36" s="17" t="str">
        <f t="shared" si="1"/>
        <v/>
      </c>
      <c r="B36" s="1"/>
      <c r="C36" s="1"/>
      <c r="D36" s="1"/>
      <c r="E36" s="1"/>
      <c r="F36" s="1"/>
      <c r="G36" s="1"/>
      <c r="H36" s="1"/>
      <c r="I36" s="1"/>
      <c r="J36" s="17" t="str">
        <f t="shared" si="0"/>
        <v/>
      </c>
      <c r="K36" s="23" t="str" cm="1">
        <f t="array" ref="K36">IF(L36&lt;&gt;"", SUMPRODUCT(MID(N36:W36,5,1)*1), "")</f>
        <v/>
      </c>
      <c r="L36" s="26"/>
      <c r="M36" s="23" t="str" cm="1">
        <f t="array" ref="M36">IF(L36&lt;&gt;"", SUMPRODUCT(LEFT(N36:W36,1)*1), "")</f>
        <v/>
      </c>
      <c r="N36" s="16"/>
      <c r="O36" s="16"/>
      <c r="P36" s="16"/>
      <c r="Q36" s="16"/>
      <c r="R36" s="16"/>
      <c r="S36" s="16"/>
      <c r="T36" s="16"/>
      <c r="U36" s="16"/>
      <c r="V36" s="16"/>
      <c r="W36" s="16"/>
      <c r="AD36" s="6"/>
    </row>
    <row r="37" spans="1:30" x14ac:dyDescent="0.25">
      <c r="A37" s="17" t="str">
        <f t="shared" si="1"/>
        <v/>
      </c>
      <c r="B37" s="1"/>
      <c r="C37" s="1"/>
      <c r="D37" s="1"/>
      <c r="E37" s="1"/>
      <c r="F37" s="1"/>
      <c r="G37" s="1"/>
      <c r="H37" s="1"/>
      <c r="I37" s="1"/>
      <c r="J37" s="17" t="str">
        <f t="shared" si="0"/>
        <v/>
      </c>
      <c r="K37" s="23" t="str" cm="1">
        <f t="array" ref="K37">IF(L37&lt;&gt;"", SUMPRODUCT(MID(N37:W37,5,1)*1), "")</f>
        <v/>
      </c>
      <c r="L37" s="18"/>
      <c r="M37" s="23" t="str" cm="1">
        <f t="array" ref="M37">IF(L37&lt;&gt;"", SUMPRODUCT(LEFT(N37:W37,1)*1), "")</f>
        <v/>
      </c>
      <c r="N37" s="16"/>
      <c r="O37" s="16"/>
      <c r="P37" s="16"/>
      <c r="Q37" s="16"/>
      <c r="R37" s="16"/>
      <c r="S37" s="16"/>
      <c r="T37" s="16"/>
      <c r="U37" s="16"/>
      <c r="V37" s="16"/>
      <c r="W37" s="16"/>
      <c r="AD37" s="6"/>
    </row>
    <row r="38" spans="1:30" x14ac:dyDescent="0.25">
      <c r="A38" s="17" t="str">
        <f t="shared" si="1"/>
        <v/>
      </c>
      <c r="B38" s="1"/>
      <c r="C38" s="1"/>
      <c r="D38" s="1"/>
      <c r="E38" s="1"/>
      <c r="F38" s="1"/>
      <c r="G38" s="1"/>
      <c r="H38" s="1"/>
      <c r="I38" s="1"/>
      <c r="J38" s="17" t="str">
        <f t="shared" si="0"/>
        <v/>
      </c>
      <c r="K38" s="23" t="str" cm="1">
        <f t="array" ref="K38">IF(L38&lt;&gt;"", SUMPRODUCT(MID(N38:W38,5,1)*1), "")</f>
        <v/>
      </c>
      <c r="L38" s="18"/>
      <c r="M38" s="23" t="str" cm="1">
        <f t="array" ref="M38">IF(L38&lt;&gt;"", SUMPRODUCT(LEFT(N38:W38,1)*1), "")</f>
        <v/>
      </c>
      <c r="N38" s="16"/>
      <c r="O38" s="16"/>
      <c r="P38" s="16"/>
      <c r="Q38" s="16"/>
      <c r="R38" s="16"/>
      <c r="S38" s="16"/>
      <c r="T38" s="16"/>
      <c r="U38" s="16"/>
      <c r="V38" s="16"/>
      <c r="W38" s="16"/>
      <c r="AD38" s="6"/>
    </row>
    <row r="39" spans="1:30" x14ac:dyDescent="0.25">
      <c r="A39" s="17" t="str">
        <f t="shared" si="1"/>
        <v/>
      </c>
      <c r="B39" s="1"/>
      <c r="C39" s="1"/>
      <c r="D39" s="1"/>
      <c r="E39" s="1"/>
      <c r="F39" s="1"/>
      <c r="G39" s="1"/>
      <c r="H39" s="1"/>
      <c r="I39" s="1"/>
      <c r="J39" s="17" t="str">
        <f t="shared" si="0"/>
        <v/>
      </c>
      <c r="K39" s="23" t="str" cm="1">
        <f t="array" ref="K39">IF(L39&lt;&gt;"", SUMPRODUCT(MID(N39:W39,5,1)*1), "")</f>
        <v/>
      </c>
      <c r="L39" s="18"/>
      <c r="M39" s="23" t="str" cm="1">
        <f t="array" ref="M39">IF(L39&lt;&gt;"", SUMPRODUCT(LEFT(N39:W39,1)*1), "")</f>
        <v/>
      </c>
      <c r="N39" s="16"/>
      <c r="O39" s="16"/>
      <c r="P39" s="16"/>
      <c r="Q39" s="16"/>
      <c r="R39" s="16"/>
      <c r="S39" s="16"/>
      <c r="T39" s="16"/>
      <c r="U39" s="16"/>
      <c r="V39" s="16"/>
      <c r="W39" s="16"/>
      <c r="AD39" s="6"/>
    </row>
    <row r="40" spans="1:30" x14ac:dyDescent="0.25">
      <c r="A40" s="17" t="str">
        <f t="shared" si="1"/>
        <v/>
      </c>
      <c r="B40" s="1"/>
      <c r="C40" s="1"/>
      <c r="D40" s="1"/>
      <c r="E40" s="1"/>
      <c r="F40" s="1"/>
      <c r="G40" s="1"/>
      <c r="H40" s="1"/>
      <c r="I40" s="1"/>
      <c r="J40" s="17" t="str">
        <f t="shared" si="0"/>
        <v/>
      </c>
      <c r="K40" s="23" t="str" cm="1">
        <f t="array" ref="K40">IF(L40&lt;&gt;"", SUMPRODUCT(MID(N40:W40,5,1)*1), "")</f>
        <v/>
      </c>
      <c r="L40" s="18"/>
      <c r="M40" s="23" t="str" cm="1">
        <f t="array" ref="M40">IF(L40&lt;&gt;"", SUMPRODUCT(LEFT(N40:W40,1)*1), "")</f>
        <v/>
      </c>
      <c r="N40" s="16"/>
      <c r="O40" s="16"/>
      <c r="P40" s="16"/>
      <c r="Q40" s="16"/>
      <c r="R40" s="16"/>
      <c r="S40" s="16"/>
      <c r="T40" s="16"/>
      <c r="U40" s="16"/>
      <c r="V40" s="16"/>
      <c r="W40" s="16"/>
      <c r="AD40" s="6"/>
    </row>
    <row r="41" spans="1:30" ht="12.75" x14ac:dyDescent="0.2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</row>
    <row r="42" spans="1:30" ht="12.75" x14ac:dyDescent="0.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</row>
    <row r="43" spans="1:30" ht="12.75" x14ac:dyDescent="0.2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</row>
    <row r="44" spans="1:30" ht="14.25" x14ac:dyDescent="0.2">
      <c r="A44" s="6"/>
      <c r="B44" s="4" t="s">
        <v>1</v>
      </c>
      <c r="C44" s="4" t="s">
        <v>2</v>
      </c>
      <c r="D44" s="4" t="s">
        <v>3</v>
      </c>
      <c r="E44" s="4" t="s">
        <v>4</v>
      </c>
      <c r="F44" s="4" t="s">
        <v>6</v>
      </c>
      <c r="G44" s="4" t="s">
        <v>7</v>
      </c>
      <c r="H44" s="4" t="s">
        <v>8</v>
      </c>
      <c r="I44" s="4" t="s">
        <v>9</v>
      </c>
      <c r="J44" s="4" t="s">
        <v>10</v>
      </c>
      <c r="K44" s="16" t="s">
        <v>32</v>
      </c>
      <c r="L44" s="16" t="s">
        <v>59</v>
      </c>
      <c r="M44" s="16" t="s">
        <v>60</v>
      </c>
      <c r="N44" s="16" t="s">
        <v>61</v>
      </c>
      <c r="O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</row>
    <row r="45" spans="1:30" ht="12.75" x14ac:dyDescent="0.2">
      <c r="A45" s="6" t="s">
        <v>62</v>
      </c>
      <c r="B45" s="6">
        <v>1</v>
      </c>
      <c r="C45" s="6">
        <v>1</v>
      </c>
      <c r="D45" s="6">
        <v>1</v>
      </c>
      <c r="E45" s="6">
        <v>1</v>
      </c>
      <c r="F45" s="6">
        <v>1</v>
      </c>
      <c r="G45" s="6">
        <v>1</v>
      </c>
      <c r="H45" s="6">
        <v>0</v>
      </c>
      <c r="I45" s="6">
        <v>1</v>
      </c>
      <c r="J45" s="6">
        <v>1</v>
      </c>
      <c r="K45" s="6">
        <v>1</v>
      </c>
      <c r="L45" s="6"/>
      <c r="M45" s="6"/>
      <c r="N45" s="6"/>
      <c r="O45" s="28">
        <f t="shared" ref="O45:O48" si="2">SUM(A45:N45)</f>
        <v>9</v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</row>
    <row r="46" spans="1:30" ht="12.75" x14ac:dyDescent="0.2">
      <c r="A46" s="6" t="s">
        <v>42</v>
      </c>
      <c r="B46" s="6">
        <v>1</v>
      </c>
      <c r="C46" s="6">
        <v>1</v>
      </c>
      <c r="D46" s="6">
        <v>0</v>
      </c>
      <c r="E46" s="6">
        <v>1</v>
      </c>
      <c r="F46" s="6">
        <v>1</v>
      </c>
      <c r="G46" s="6">
        <v>1</v>
      </c>
      <c r="H46" s="6">
        <v>0</v>
      </c>
      <c r="I46" s="6">
        <v>1</v>
      </c>
      <c r="J46" s="6">
        <v>1</v>
      </c>
      <c r="K46" s="6">
        <v>1</v>
      </c>
      <c r="L46" s="6"/>
      <c r="M46" s="6"/>
      <c r="N46" s="6"/>
      <c r="O46" s="28">
        <f t="shared" si="2"/>
        <v>8</v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</row>
    <row r="47" spans="1:30" ht="12.75" x14ac:dyDescent="0.2">
      <c r="A47" s="6" t="s">
        <v>63</v>
      </c>
      <c r="B47" s="6">
        <v>0</v>
      </c>
      <c r="C47" s="6">
        <v>4</v>
      </c>
      <c r="D47" s="6">
        <v>2</v>
      </c>
      <c r="E47" s="6">
        <v>1</v>
      </c>
      <c r="F47" s="6">
        <v>1</v>
      </c>
      <c r="G47" s="6">
        <v>0</v>
      </c>
      <c r="H47" s="6">
        <v>0</v>
      </c>
      <c r="I47" s="6">
        <v>2</v>
      </c>
      <c r="J47" s="6">
        <v>2</v>
      </c>
      <c r="K47" s="6">
        <v>2</v>
      </c>
      <c r="L47" s="6"/>
      <c r="M47" s="6"/>
      <c r="N47" s="6"/>
      <c r="O47" s="28">
        <f t="shared" si="2"/>
        <v>14</v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</row>
    <row r="48" spans="1:30" ht="12.75" x14ac:dyDescent="0.2">
      <c r="A48" s="6" t="s">
        <v>64</v>
      </c>
      <c r="B48" s="6">
        <v>4</v>
      </c>
      <c r="C48" s="6">
        <v>1</v>
      </c>
      <c r="D48" s="6">
        <v>0</v>
      </c>
      <c r="E48" s="6">
        <v>1</v>
      </c>
      <c r="F48" s="6">
        <v>0</v>
      </c>
      <c r="G48" s="6">
        <v>0</v>
      </c>
      <c r="H48" s="6">
        <v>0</v>
      </c>
      <c r="I48" s="6">
        <v>0</v>
      </c>
      <c r="J48" s="6">
        <v>1</v>
      </c>
      <c r="K48" s="6">
        <v>0</v>
      </c>
      <c r="L48" s="6"/>
      <c r="M48" s="6"/>
      <c r="N48" s="6"/>
      <c r="O48" s="28">
        <f t="shared" si="2"/>
        <v>7</v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</row>
    <row r="49" spans="1:30" ht="12.75" x14ac:dyDescent="0.2">
      <c r="A49" s="6"/>
      <c r="B49" s="6" t="str">
        <f t="shared" ref="B49:O49" si="3">B45&amp;","&amp;B46&amp;","&amp;B47&amp;","&amp;B48</f>
        <v>1,1,0,4</v>
      </c>
      <c r="C49" s="6" t="str">
        <f t="shared" si="3"/>
        <v>1,1,4,1</v>
      </c>
      <c r="D49" s="6" t="str">
        <f t="shared" si="3"/>
        <v>1,0,2,0</v>
      </c>
      <c r="E49" s="6" t="str">
        <f t="shared" si="3"/>
        <v>1,1,1,1</v>
      </c>
      <c r="F49" s="6" t="str">
        <f t="shared" ref="F49:Q49" si="4">F45&amp;","&amp;F46&amp;","&amp;F47&amp;","&amp;F48</f>
        <v>1,1,1,0</v>
      </c>
      <c r="G49" s="6" t="str">
        <f t="shared" si="4"/>
        <v>1,1,0,0</v>
      </c>
      <c r="H49" s="6" t="str">
        <f t="shared" si="4"/>
        <v>0,0,0,0</v>
      </c>
      <c r="I49" s="6" t="str">
        <f t="shared" si="4"/>
        <v>1,1,2,0</v>
      </c>
      <c r="J49" s="6" t="str">
        <f t="shared" si="4"/>
        <v>1,1,2,1</v>
      </c>
      <c r="K49" s="6" t="str">
        <f t="shared" si="4"/>
        <v>1,1,2,0</v>
      </c>
      <c r="L49" s="6" t="str">
        <f t="shared" si="4"/>
        <v>,,,</v>
      </c>
      <c r="M49" s="6" t="str">
        <f t="shared" si="4"/>
        <v>,,,</v>
      </c>
      <c r="N49" s="6" t="str">
        <f t="shared" si="4"/>
        <v>,,,</v>
      </c>
      <c r="O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 spans="1:30" ht="12.75" x14ac:dyDescent="0.2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</row>
    <row r="51" spans="1:30" ht="12.75" x14ac:dyDescent="0.2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</row>
    <row r="52" spans="1:30" ht="12.75" x14ac:dyDescent="0.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</row>
    <row r="53" spans="1:30" ht="12.75" x14ac:dyDescent="0.2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</row>
    <row r="54" spans="1:30" ht="12.75" x14ac:dyDescent="0.2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</row>
    <row r="55" spans="1:30" ht="12.75" x14ac:dyDescent="0.2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</row>
    <row r="56" spans="1:30" ht="12.75" x14ac:dyDescent="0.2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</row>
    <row r="57" spans="1:30" ht="12.75" x14ac:dyDescent="0.2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</row>
    <row r="58" spans="1:30" ht="12.75" x14ac:dyDescent="0.2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 spans="1:30" ht="12.75" x14ac:dyDescent="0.2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</row>
    <row r="60" spans="1:30" ht="12.75" x14ac:dyDescent="0.2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</row>
    <row r="61" spans="1:30" ht="12.75" x14ac:dyDescent="0.2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</row>
    <row r="62" spans="1:30" ht="12.75" x14ac:dyDescent="0.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</row>
    <row r="63" spans="1:30" ht="12.75" x14ac:dyDescent="0.2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</row>
    <row r="64" spans="1:30" ht="12.75" x14ac:dyDescent="0.2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</row>
    <row r="65" spans="1:30" ht="12.75" x14ac:dyDescent="0.2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1:30" ht="12.75" x14ac:dyDescent="0.2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</row>
    <row r="67" spans="1:30" ht="12.75" x14ac:dyDescent="0.2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 spans="1:30" ht="12.75" x14ac:dyDescent="0.2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</row>
    <row r="69" spans="1:30" ht="12.75" x14ac:dyDescent="0.2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</row>
    <row r="70" spans="1:30" ht="12.75" x14ac:dyDescent="0.2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</row>
    <row r="71" spans="1:30" ht="12.75" x14ac:dyDescent="0.2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</row>
    <row r="72" spans="1:30" ht="12.75" x14ac:dyDescent="0.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</row>
    <row r="73" spans="1:30" ht="12.75" x14ac:dyDescent="0.2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</row>
    <row r="74" spans="1:30" ht="12.75" x14ac:dyDescent="0.2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</row>
    <row r="75" spans="1:30" ht="12.75" x14ac:dyDescent="0.2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</row>
    <row r="76" spans="1:30" ht="12.75" x14ac:dyDescent="0.2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</row>
    <row r="77" spans="1:30" ht="12.75" x14ac:dyDescent="0.2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</row>
    <row r="78" spans="1:30" ht="12.75" x14ac:dyDescent="0.2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</row>
    <row r="79" spans="1:30" ht="12.75" x14ac:dyDescent="0.2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</row>
    <row r="80" spans="1:30" ht="12.75" x14ac:dyDescent="0.2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</row>
    <row r="81" spans="1:30" ht="12.75" x14ac:dyDescent="0.2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</row>
    <row r="82" spans="1:30" ht="12.75" x14ac:dyDescent="0.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</row>
    <row r="83" spans="1:30" ht="12.75" x14ac:dyDescent="0.2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</row>
    <row r="84" spans="1:30" ht="12.75" x14ac:dyDescent="0.2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</row>
    <row r="85" spans="1:30" ht="12.75" x14ac:dyDescent="0.2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 spans="1:30" ht="12.75" x14ac:dyDescent="0.2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</row>
    <row r="87" spans="1:30" ht="12.75" x14ac:dyDescent="0.2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</row>
    <row r="88" spans="1:30" ht="12.75" x14ac:dyDescent="0.2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</row>
    <row r="89" spans="1:30" ht="12.75" x14ac:dyDescent="0.2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</row>
    <row r="90" spans="1:30" ht="12.75" x14ac:dyDescent="0.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</row>
    <row r="91" spans="1:30" ht="12.75" x14ac:dyDescent="0.2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</row>
    <row r="92" spans="1:30" ht="12.75" x14ac:dyDescent="0.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</row>
    <row r="93" spans="1:30" ht="12.75" x14ac:dyDescent="0.2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</row>
    <row r="94" spans="1:30" ht="12.75" x14ac:dyDescent="0.2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 spans="1:30" ht="12.75" x14ac:dyDescent="0.2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</row>
    <row r="96" spans="1:30" ht="12.75" x14ac:dyDescent="0.2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</row>
    <row r="97" spans="1:30" ht="12.75" x14ac:dyDescent="0.2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</row>
    <row r="98" spans="1:30" ht="12.75" x14ac:dyDescent="0.2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</row>
    <row r="99" spans="1:30" ht="12.75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</row>
    <row r="100" spans="1:30" ht="12.75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</row>
    <row r="101" spans="1:30" ht="12.75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</row>
    <row r="102" spans="1:30" ht="12.75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</row>
    <row r="103" spans="1:30" ht="12.75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</row>
    <row r="104" spans="1:30" ht="12.75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</row>
    <row r="105" spans="1:30" ht="12.75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</row>
    <row r="106" spans="1:30" ht="12.75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</row>
    <row r="107" spans="1:30" ht="12.75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</row>
    <row r="108" spans="1:30" ht="12.75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</row>
    <row r="109" spans="1:30" ht="12.75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</row>
    <row r="110" spans="1:30" ht="12.75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</row>
    <row r="111" spans="1:30" ht="12.75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</row>
    <row r="112" spans="1:30" ht="12.75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</row>
    <row r="113" spans="1:30" ht="12.75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</row>
    <row r="114" spans="1:30" ht="12.75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</row>
    <row r="115" spans="1:30" ht="12.75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</row>
    <row r="116" spans="1:30" ht="12.75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</row>
    <row r="117" spans="1:30" ht="12.75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</row>
    <row r="118" spans="1:30" ht="12.75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</row>
    <row r="119" spans="1:30" ht="12.75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</row>
    <row r="120" spans="1:30" ht="12.75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</row>
    <row r="121" spans="1:30" ht="12.75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</row>
    <row r="122" spans="1:30" ht="12.75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</row>
    <row r="123" spans="1:30" ht="12.75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</row>
    <row r="124" spans="1:30" ht="12.75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</row>
    <row r="125" spans="1:30" ht="12.75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</row>
    <row r="126" spans="1:30" ht="12.75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</row>
    <row r="127" spans="1:30" ht="12.75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</row>
    <row r="128" spans="1:30" ht="12.75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</row>
    <row r="129" spans="1:30" ht="12.75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</row>
    <row r="130" spans="1:30" ht="12.75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</row>
    <row r="131" spans="1:30" ht="12.75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</row>
    <row r="132" spans="1:30" ht="12.75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</row>
    <row r="133" spans="1:30" ht="12.75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</row>
    <row r="134" spans="1:30" ht="12.75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</row>
    <row r="135" spans="1:30" ht="12.75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</row>
    <row r="136" spans="1:30" ht="12.75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</row>
    <row r="137" spans="1:30" ht="12.75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</row>
    <row r="138" spans="1:30" ht="12.75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</row>
    <row r="139" spans="1:30" ht="12.75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</row>
    <row r="140" spans="1:30" ht="12.75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</row>
    <row r="141" spans="1:30" ht="12.75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</row>
    <row r="142" spans="1:30" ht="12.75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</row>
    <row r="143" spans="1:30" ht="12.75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</row>
    <row r="144" spans="1:30" ht="12.75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</row>
    <row r="145" spans="1:30" ht="12.75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</row>
    <row r="146" spans="1:30" ht="12.75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</row>
    <row r="147" spans="1:30" ht="12.75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</row>
    <row r="148" spans="1:30" ht="12.75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</row>
    <row r="149" spans="1:30" ht="12.75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</row>
    <row r="150" spans="1:30" ht="12.75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</row>
    <row r="151" spans="1:30" ht="12.75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</row>
    <row r="152" spans="1:30" ht="12.75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</row>
    <row r="153" spans="1:30" ht="12.75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</row>
    <row r="154" spans="1:30" ht="12.75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</row>
    <row r="155" spans="1:30" ht="12.75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</row>
    <row r="156" spans="1:30" ht="12.75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</row>
    <row r="157" spans="1:30" ht="12.75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</row>
    <row r="158" spans="1:30" ht="12.75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</row>
    <row r="159" spans="1:30" ht="12.75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</row>
    <row r="160" spans="1:30" ht="12.75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</row>
    <row r="161" spans="1:30" ht="12.75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</row>
    <row r="162" spans="1:30" ht="12.75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</row>
    <row r="163" spans="1:30" ht="12.75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</row>
    <row r="164" spans="1:30" ht="12.75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</row>
    <row r="165" spans="1:30" ht="12.75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</row>
    <row r="166" spans="1:30" ht="12.75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</row>
    <row r="167" spans="1:30" ht="12.75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</row>
    <row r="168" spans="1:30" ht="12.75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</row>
    <row r="169" spans="1:30" ht="12.75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</row>
    <row r="170" spans="1:30" ht="12.75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</row>
    <row r="171" spans="1:30" ht="12.75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</row>
    <row r="172" spans="1:30" ht="12.75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</row>
    <row r="173" spans="1:30" ht="12.75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</row>
    <row r="174" spans="1:30" ht="12.75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</row>
    <row r="175" spans="1:30" ht="12.75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</row>
    <row r="176" spans="1:30" ht="12.75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</row>
    <row r="177" spans="1:30" ht="12.75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</row>
    <row r="178" spans="1:30" ht="12.75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</row>
    <row r="179" spans="1:30" ht="12.75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</row>
    <row r="180" spans="1:30" ht="12.75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</row>
    <row r="181" spans="1:30" ht="12.75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</row>
    <row r="182" spans="1:30" ht="12.75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</row>
    <row r="183" spans="1:30" ht="12.75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</row>
    <row r="184" spans="1:30" ht="12.75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</row>
    <row r="185" spans="1:30" ht="12.75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</row>
    <row r="186" spans="1:30" ht="12.75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</row>
    <row r="187" spans="1:30" ht="12.75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</row>
    <row r="188" spans="1:30" ht="12.75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</row>
    <row r="189" spans="1:30" ht="12.75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</row>
    <row r="190" spans="1:30" ht="12.75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</row>
    <row r="191" spans="1:30" ht="12.75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</row>
    <row r="192" spans="1:30" ht="12.75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</row>
    <row r="193" spans="1:30" ht="12.75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</row>
    <row r="194" spans="1:30" ht="12.75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</row>
    <row r="195" spans="1:30" ht="12.75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</row>
    <row r="196" spans="1:30" ht="12.75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</row>
    <row r="197" spans="1:30" ht="12.75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</row>
    <row r="198" spans="1:30" ht="12.75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</row>
    <row r="199" spans="1:30" ht="12.75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</row>
    <row r="200" spans="1:30" ht="12.75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</row>
    <row r="201" spans="1:30" ht="12.75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</row>
    <row r="202" spans="1:30" ht="12.75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</row>
    <row r="203" spans="1:30" ht="12.75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</row>
    <row r="204" spans="1:30" ht="12.75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</row>
    <row r="205" spans="1:30" ht="12.75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</row>
    <row r="206" spans="1:30" ht="12.75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</row>
    <row r="207" spans="1:30" ht="12.75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</row>
    <row r="208" spans="1:30" ht="12.75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</row>
    <row r="209" spans="1:30" ht="12.75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</row>
    <row r="210" spans="1:30" ht="12.75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</row>
    <row r="211" spans="1:30" ht="12.75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</row>
    <row r="212" spans="1:30" ht="12.75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</row>
    <row r="213" spans="1:30" ht="12.75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</row>
    <row r="214" spans="1:30" ht="12.75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</row>
    <row r="215" spans="1:30" ht="12.75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</row>
    <row r="216" spans="1:30" ht="12.75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</row>
    <row r="217" spans="1:30" ht="12.75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</row>
    <row r="218" spans="1:30" ht="12.75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</row>
    <row r="219" spans="1:30" ht="12.75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</row>
    <row r="220" spans="1:30" ht="12.75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</row>
    <row r="221" spans="1:30" ht="12.75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</row>
    <row r="222" spans="1:30" ht="12.75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</row>
    <row r="223" spans="1:30" ht="12.75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</row>
    <row r="224" spans="1:30" ht="12.75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</row>
    <row r="225" spans="1:30" ht="12.75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</row>
    <row r="226" spans="1:30" ht="12.75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</row>
    <row r="227" spans="1:30" ht="12.75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</row>
    <row r="228" spans="1:30" ht="12.75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</row>
    <row r="229" spans="1:30" ht="12.75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</row>
    <row r="230" spans="1:30" ht="12.75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</row>
    <row r="231" spans="1:30" ht="12.75" x14ac:dyDescent="0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</row>
    <row r="232" spans="1:30" ht="12.75" x14ac:dyDescent="0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</row>
    <row r="233" spans="1:30" ht="12.75" x14ac:dyDescent="0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</row>
    <row r="234" spans="1:30" ht="12.75" x14ac:dyDescent="0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</row>
    <row r="235" spans="1:30" ht="12.75" x14ac:dyDescent="0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</row>
    <row r="236" spans="1:30" ht="12.75" x14ac:dyDescent="0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</row>
    <row r="237" spans="1:30" ht="12.75" x14ac:dyDescent="0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</row>
    <row r="238" spans="1:30" ht="12.75" x14ac:dyDescent="0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</row>
    <row r="239" spans="1:30" ht="12.75" x14ac:dyDescent="0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</row>
    <row r="240" spans="1:30" ht="12.75" x14ac:dyDescent="0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</row>
    <row r="241" spans="1:30" ht="12.75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</row>
    <row r="242" spans="1:30" ht="12.75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</row>
    <row r="243" spans="1:30" ht="12.75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</row>
    <row r="244" spans="1:30" ht="12.75" x14ac:dyDescent="0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</row>
    <row r="245" spans="1:30" ht="12.75" x14ac:dyDescent="0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</row>
    <row r="246" spans="1:30" ht="12.75" x14ac:dyDescent="0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</row>
    <row r="247" spans="1:30" ht="12.75" x14ac:dyDescent="0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</row>
    <row r="248" spans="1:30" ht="12.75" x14ac:dyDescent="0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</row>
    <row r="249" spans="1:30" ht="12.75" x14ac:dyDescent="0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</row>
    <row r="250" spans="1:30" ht="12.75" x14ac:dyDescent="0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</row>
    <row r="251" spans="1:30" ht="12.75" x14ac:dyDescent="0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</row>
    <row r="252" spans="1:30" ht="12.75" x14ac:dyDescent="0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</row>
    <row r="253" spans="1:30" ht="12.75" x14ac:dyDescent="0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</row>
    <row r="254" spans="1:30" ht="12.75" x14ac:dyDescent="0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</row>
    <row r="255" spans="1:30" ht="12.75" x14ac:dyDescent="0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</row>
    <row r="256" spans="1:30" ht="12.75" x14ac:dyDescent="0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</row>
    <row r="257" spans="1:30" ht="12.75" x14ac:dyDescent="0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</row>
    <row r="258" spans="1:30" ht="12.75" x14ac:dyDescent="0.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</row>
    <row r="259" spans="1:30" ht="12.75" x14ac:dyDescent="0.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</row>
    <row r="260" spans="1:30" ht="12.75" x14ac:dyDescent="0.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</row>
    <row r="261" spans="1:30" ht="12.75" x14ac:dyDescent="0.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</row>
    <row r="262" spans="1:30" ht="12.75" x14ac:dyDescent="0.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</row>
    <row r="263" spans="1:30" ht="12.75" x14ac:dyDescent="0.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</row>
    <row r="264" spans="1:30" ht="12.75" x14ac:dyDescent="0.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</row>
    <row r="265" spans="1:30" ht="12.75" x14ac:dyDescent="0.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</row>
    <row r="266" spans="1:30" ht="12.75" x14ac:dyDescent="0.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</row>
    <row r="267" spans="1:30" ht="12.75" x14ac:dyDescent="0.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</row>
    <row r="268" spans="1:30" ht="12.75" x14ac:dyDescent="0.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</row>
    <row r="269" spans="1:30" ht="12.75" x14ac:dyDescent="0.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</row>
    <row r="270" spans="1:30" ht="12.75" x14ac:dyDescent="0.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</row>
    <row r="271" spans="1:30" ht="12.75" x14ac:dyDescent="0.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</row>
    <row r="272" spans="1:30" ht="12.75" x14ac:dyDescent="0.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</row>
    <row r="273" spans="1:30" ht="12.75" x14ac:dyDescent="0.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</row>
    <row r="274" spans="1:30" ht="12.75" x14ac:dyDescent="0.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</row>
    <row r="275" spans="1:30" ht="12.75" x14ac:dyDescent="0.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</row>
    <row r="276" spans="1:30" ht="12.75" x14ac:dyDescent="0.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</row>
    <row r="277" spans="1:30" ht="12.75" x14ac:dyDescent="0.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</row>
    <row r="278" spans="1:30" ht="12.75" x14ac:dyDescent="0.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</row>
    <row r="279" spans="1:30" ht="12.75" x14ac:dyDescent="0.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</row>
    <row r="280" spans="1:30" ht="12.75" x14ac:dyDescent="0.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</row>
    <row r="281" spans="1:30" ht="12.75" x14ac:dyDescent="0.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</row>
    <row r="282" spans="1:30" ht="12.75" x14ac:dyDescent="0.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</row>
    <row r="283" spans="1:30" ht="12.75" x14ac:dyDescent="0.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</row>
    <row r="284" spans="1:30" ht="12.75" x14ac:dyDescent="0.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</row>
    <row r="285" spans="1:30" ht="12.75" x14ac:dyDescent="0.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</row>
    <row r="286" spans="1:30" ht="12.75" x14ac:dyDescent="0.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</row>
    <row r="287" spans="1:30" ht="12.75" x14ac:dyDescent="0.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</row>
    <row r="288" spans="1:30" ht="12.75" x14ac:dyDescent="0.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</row>
    <row r="289" spans="1:30" ht="12.75" x14ac:dyDescent="0.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</row>
    <row r="290" spans="1:30" ht="12.75" x14ac:dyDescent="0.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</row>
    <row r="291" spans="1:30" ht="12.75" x14ac:dyDescent="0.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</row>
    <row r="292" spans="1:30" ht="12.75" x14ac:dyDescent="0.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</row>
    <row r="293" spans="1:30" ht="12.75" x14ac:dyDescent="0.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</row>
    <row r="294" spans="1:30" ht="12.75" x14ac:dyDescent="0.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</row>
    <row r="295" spans="1:30" ht="12.75" x14ac:dyDescent="0.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</row>
    <row r="296" spans="1:30" ht="12.75" x14ac:dyDescent="0.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</row>
    <row r="297" spans="1:30" ht="12.75" x14ac:dyDescent="0.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</row>
    <row r="298" spans="1:30" ht="12.75" x14ac:dyDescent="0.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</row>
    <row r="299" spans="1:30" ht="12.75" x14ac:dyDescent="0.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</row>
    <row r="300" spans="1:30" ht="12.75" x14ac:dyDescent="0.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</row>
    <row r="301" spans="1:30" ht="12.75" x14ac:dyDescent="0.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</row>
    <row r="302" spans="1:30" ht="12.75" x14ac:dyDescent="0.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</row>
    <row r="303" spans="1:30" ht="12.75" x14ac:dyDescent="0.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</row>
    <row r="304" spans="1:30" ht="12.75" x14ac:dyDescent="0.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</row>
    <row r="305" spans="1:30" ht="12.75" x14ac:dyDescent="0.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</row>
    <row r="306" spans="1:30" ht="12.75" x14ac:dyDescent="0.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</row>
    <row r="307" spans="1:30" ht="12.75" x14ac:dyDescent="0.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</row>
    <row r="308" spans="1:30" ht="12.75" x14ac:dyDescent="0.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</row>
    <row r="309" spans="1:30" ht="12.75" x14ac:dyDescent="0.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</row>
    <row r="310" spans="1:30" ht="12.75" x14ac:dyDescent="0.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</row>
    <row r="311" spans="1:30" ht="12.75" x14ac:dyDescent="0.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</row>
    <row r="312" spans="1:30" ht="12.75" x14ac:dyDescent="0.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</row>
    <row r="313" spans="1:30" ht="12.75" x14ac:dyDescent="0.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</row>
    <row r="314" spans="1:30" ht="12.75" x14ac:dyDescent="0.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</row>
    <row r="315" spans="1:30" ht="12.75" x14ac:dyDescent="0.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</row>
    <row r="316" spans="1:30" ht="12.75" x14ac:dyDescent="0.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</row>
    <row r="317" spans="1:30" ht="12.75" x14ac:dyDescent="0.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</row>
    <row r="318" spans="1:30" ht="12.75" x14ac:dyDescent="0.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</row>
    <row r="319" spans="1:30" ht="12.75" x14ac:dyDescent="0.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</row>
    <row r="320" spans="1:30" ht="12.75" x14ac:dyDescent="0.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</row>
    <row r="321" spans="1:30" ht="12.75" x14ac:dyDescent="0.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</row>
    <row r="322" spans="1:30" ht="12.75" x14ac:dyDescent="0.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</row>
    <row r="323" spans="1:30" ht="12.75" x14ac:dyDescent="0.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</row>
    <row r="324" spans="1:30" ht="12.75" x14ac:dyDescent="0.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</row>
    <row r="325" spans="1:30" ht="12.75" x14ac:dyDescent="0.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</row>
    <row r="326" spans="1:30" ht="12.75" x14ac:dyDescent="0.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</row>
    <row r="327" spans="1:30" ht="12.75" x14ac:dyDescent="0.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</row>
    <row r="328" spans="1:30" ht="12.75" x14ac:dyDescent="0.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</row>
    <row r="329" spans="1:30" ht="12.75" x14ac:dyDescent="0.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</row>
    <row r="330" spans="1:30" ht="12.75" x14ac:dyDescent="0.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</row>
    <row r="331" spans="1:30" ht="12.75" x14ac:dyDescent="0.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</row>
    <row r="332" spans="1:30" ht="12.75" x14ac:dyDescent="0.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</row>
    <row r="333" spans="1:30" ht="12.75" x14ac:dyDescent="0.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</row>
    <row r="334" spans="1:30" ht="12.75" x14ac:dyDescent="0.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 spans="1:30" ht="12.75" x14ac:dyDescent="0.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</row>
    <row r="336" spans="1:30" ht="12.75" x14ac:dyDescent="0.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</row>
    <row r="337" spans="1:30" ht="12.75" x14ac:dyDescent="0.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</row>
    <row r="338" spans="1:30" ht="12.75" x14ac:dyDescent="0.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</row>
    <row r="339" spans="1:30" ht="12.75" x14ac:dyDescent="0.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</row>
    <row r="340" spans="1:30" ht="12.75" x14ac:dyDescent="0.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 spans="1:30" ht="12.75" x14ac:dyDescent="0.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 spans="1:30" ht="12.75" x14ac:dyDescent="0.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spans="1:30" ht="12.75" x14ac:dyDescent="0.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spans="1:30" ht="12.75" x14ac:dyDescent="0.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spans="1:30" ht="12.75" x14ac:dyDescent="0.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spans="1:30" ht="12.75" x14ac:dyDescent="0.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spans="1:30" ht="12.75" x14ac:dyDescent="0.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spans="1:30" ht="12.75" x14ac:dyDescent="0.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spans="1:30" ht="12.75" x14ac:dyDescent="0.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spans="1:30" ht="12.75" x14ac:dyDescent="0.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spans="1:30" ht="12.75" x14ac:dyDescent="0.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spans="1:30" ht="12.75" x14ac:dyDescent="0.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spans="1:30" ht="12.75" x14ac:dyDescent="0.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spans="1:30" ht="12.75" x14ac:dyDescent="0.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spans="1:30" ht="12.75" x14ac:dyDescent="0.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spans="1:30" ht="12.75" x14ac:dyDescent="0.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spans="1:30" ht="12.75" x14ac:dyDescent="0.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spans="1:30" ht="12.75" x14ac:dyDescent="0.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spans="1:30" ht="12.75" x14ac:dyDescent="0.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spans="1:30" ht="12.75" x14ac:dyDescent="0.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spans="1:30" ht="12.75" x14ac:dyDescent="0.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spans="1:30" ht="12.75" x14ac:dyDescent="0.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spans="1:30" ht="12.75" x14ac:dyDescent="0.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spans="1:30" ht="12.75" x14ac:dyDescent="0.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spans="1:30" ht="12.75" x14ac:dyDescent="0.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spans="1:30" ht="12.75" x14ac:dyDescent="0.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spans="1:30" ht="12.75" x14ac:dyDescent="0.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spans="1:30" ht="12.75" x14ac:dyDescent="0.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spans="1:30" ht="12.75" x14ac:dyDescent="0.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spans="1:30" ht="12.75" x14ac:dyDescent="0.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spans="1:30" ht="12.75" x14ac:dyDescent="0.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spans="1:30" ht="12.75" x14ac:dyDescent="0.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spans="1:30" ht="12.75" x14ac:dyDescent="0.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spans="1:30" ht="12.75" x14ac:dyDescent="0.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spans="1:30" ht="12.75" x14ac:dyDescent="0.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spans="1:30" ht="12.75" x14ac:dyDescent="0.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spans="1:30" ht="12.75" x14ac:dyDescent="0.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spans="1:30" ht="12.75" x14ac:dyDescent="0.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spans="1:30" ht="12.75" x14ac:dyDescent="0.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spans="1:30" ht="12.75" x14ac:dyDescent="0.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spans="1:30" ht="12.75" x14ac:dyDescent="0.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spans="1:30" ht="12.75" x14ac:dyDescent="0.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spans="1:30" ht="12.75" x14ac:dyDescent="0.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spans="1:30" ht="12.75" x14ac:dyDescent="0.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spans="1:30" ht="12.75" x14ac:dyDescent="0.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spans="1:30" ht="12.75" x14ac:dyDescent="0.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spans="1:30" ht="12.75" x14ac:dyDescent="0.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spans="1:30" ht="12.75" x14ac:dyDescent="0.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spans="1:30" ht="12.75" x14ac:dyDescent="0.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spans="1:30" ht="12.75" x14ac:dyDescent="0.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spans="1:30" ht="12.75" x14ac:dyDescent="0.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spans="1:30" ht="12.75" x14ac:dyDescent="0.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spans="1:30" ht="12.75" x14ac:dyDescent="0.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spans="1:30" ht="12.75" x14ac:dyDescent="0.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spans="1:30" ht="12.75" x14ac:dyDescent="0.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spans="1:30" ht="12.75" x14ac:dyDescent="0.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spans="1:30" ht="12.75" x14ac:dyDescent="0.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spans="1:30" ht="12.75" x14ac:dyDescent="0.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spans="1:30" ht="12.75" x14ac:dyDescent="0.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spans="1:30" ht="12.75" x14ac:dyDescent="0.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spans="1:30" ht="12.75" x14ac:dyDescent="0.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spans="1:30" ht="12.75" x14ac:dyDescent="0.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spans="1:30" ht="12.75" x14ac:dyDescent="0.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spans="1:30" ht="12.75" x14ac:dyDescent="0.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spans="1:30" ht="12.75" x14ac:dyDescent="0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spans="1:30" ht="12.75" x14ac:dyDescent="0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spans="1:30" ht="12.75" x14ac:dyDescent="0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spans="1:30" ht="12.75" x14ac:dyDescent="0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spans="1:30" ht="12.75" x14ac:dyDescent="0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spans="1:30" ht="12.75" x14ac:dyDescent="0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spans="1:30" ht="12.75" x14ac:dyDescent="0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spans="1:30" ht="12.75" x14ac:dyDescent="0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spans="1:30" ht="12.75" x14ac:dyDescent="0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spans="1:30" ht="12.75" x14ac:dyDescent="0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spans="1:30" ht="12.75" x14ac:dyDescent="0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spans="1:30" ht="12.75" x14ac:dyDescent="0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spans="1:30" ht="12.75" x14ac:dyDescent="0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spans="1:30" ht="12.75" x14ac:dyDescent="0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spans="1:30" ht="12.75" x14ac:dyDescent="0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spans="1:30" ht="12.75" x14ac:dyDescent="0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spans="1:30" ht="12.75" x14ac:dyDescent="0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spans="1:30" ht="12.75" x14ac:dyDescent="0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spans="1:30" ht="12.75" x14ac:dyDescent="0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spans="1:30" ht="12.75" x14ac:dyDescent="0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spans="1:30" ht="12.75" x14ac:dyDescent="0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spans="1:30" ht="12.75" x14ac:dyDescent="0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spans="1:30" ht="12.75" x14ac:dyDescent="0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spans="1:30" ht="12.75" x14ac:dyDescent="0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spans="1:30" ht="12.75" x14ac:dyDescent="0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spans="1:30" ht="12.75" x14ac:dyDescent="0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spans="1:30" ht="12.75" x14ac:dyDescent="0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spans="1:30" ht="12.75" x14ac:dyDescent="0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spans="1:30" ht="12.75" x14ac:dyDescent="0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spans="1:30" ht="12.75" x14ac:dyDescent="0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spans="1:30" ht="12.75" x14ac:dyDescent="0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spans="1:30" ht="12.75" x14ac:dyDescent="0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spans="1:30" ht="12.75" x14ac:dyDescent="0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spans="1:30" ht="12.75" x14ac:dyDescent="0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spans="1:30" ht="12.75" x14ac:dyDescent="0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spans="1:30" ht="12.75" x14ac:dyDescent="0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spans="1:30" ht="12.75" x14ac:dyDescent="0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spans="1:30" ht="12.75" x14ac:dyDescent="0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spans="1:30" ht="12.75" x14ac:dyDescent="0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spans="1:30" ht="12.75" x14ac:dyDescent="0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spans="1:30" ht="12.75" x14ac:dyDescent="0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spans="1:30" ht="12.75" x14ac:dyDescent="0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spans="1:30" ht="12.75" x14ac:dyDescent="0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spans="1:30" ht="12.75" x14ac:dyDescent="0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spans="1:30" ht="12.75" x14ac:dyDescent="0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spans="1:30" ht="12.75" x14ac:dyDescent="0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spans="1:30" ht="12.75" x14ac:dyDescent="0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spans="1:30" ht="12.75" x14ac:dyDescent="0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spans="1:30" ht="12.75" x14ac:dyDescent="0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spans="1:30" ht="12.75" x14ac:dyDescent="0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spans="1:30" ht="12.75" x14ac:dyDescent="0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spans="1:30" ht="12.75" x14ac:dyDescent="0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spans="1:30" ht="12.75" x14ac:dyDescent="0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spans="1:30" ht="12.75" x14ac:dyDescent="0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spans="1:30" ht="12.75" x14ac:dyDescent="0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spans="1:30" ht="12.75" x14ac:dyDescent="0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spans="1:30" ht="12.75" x14ac:dyDescent="0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spans="1:30" ht="12.75" x14ac:dyDescent="0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spans="1:30" ht="12.75" x14ac:dyDescent="0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spans="1:30" ht="12.75" x14ac:dyDescent="0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spans="1:30" ht="12.75" x14ac:dyDescent="0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spans="1:30" ht="12.75" x14ac:dyDescent="0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spans="1:30" ht="12.75" x14ac:dyDescent="0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spans="1:30" ht="12.75" x14ac:dyDescent="0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spans="1:30" ht="12.75" x14ac:dyDescent="0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spans="1:30" ht="12.75" x14ac:dyDescent="0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spans="1:30" ht="12.75" x14ac:dyDescent="0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spans="1:30" ht="12.75" x14ac:dyDescent="0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spans="1:30" ht="12.75" x14ac:dyDescent="0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spans="1:30" ht="12.75" x14ac:dyDescent="0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spans="1:30" ht="12.75" x14ac:dyDescent="0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spans="1:30" ht="12.75" x14ac:dyDescent="0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spans="1:30" ht="12.75" x14ac:dyDescent="0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spans="1:30" ht="12.75" x14ac:dyDescent="0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spans="1:30" ht="12.75" x14ac:dyDescent="0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spans="1:30" ht="12.75" x14ac:dyDescent="0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spans="1:30" ht="12.75" x14ac:dyDescent="0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spans="1:30" ht="12.75" x14ac:dyDescent="0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spans="1:30" ht="12.75" x14ac:dyDescent="0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spans="1:30" ht="12.75" x14ac:dyDescent="0.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spans="1:30" ht="12.75" x14ac:dyDescent="0.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spans="1:30" ht="12.75" x14ac:dyDescent="0.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spans="1:30" ht="12.75" x14ac:dyDescent="0.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spans="1:30" ht="12.75" x14ac:dyDescent="0.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spans="1:30" ht="12.75" x14ac:dyDescent="0.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spans="1:30" ht="12.75" x14ac:dyDescent="0.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spans="1:30" ht="12.75" x14ac:dyDescent="0.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spans="1:30" ht="12.75" x14ac:dyDescent="0.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spans="1:30" ht="12.75" x14ac:dyDescent="0.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spans="1:30" ht="12.75" x14ac:dyDescent="0.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spans="1:30" ht="12.75" x14ac:dyDescent="0.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spans="1:30" ht="12.75" x14ac:dyDescent="0.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spans="1:30" ht="12.75" x14ac:dyDescent="0.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spans="1:30" ht="12.75" x14ac:dyDescent="0.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spans="1:30" ht="12.75" x14ac:dyDescent="0.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spans="1:30" ht="12.75" x14ac:dyDescent="0.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spans="1:30" ht="12.75" x14ac:dyDescent="0.2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spans="1:30" ht="12.75" x14ac:dyDescent="0.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spans="1:30" ht="12.75" x14ac:dyDescent="0.2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spans="1:30" ht="12.75" x14ac:dyDescent="0.2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spans="1:30" ht="12.75" x14ac:dyDescent="0.2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spans="1:30" ht="12.75" x14ac:dyDescent="0.2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spans="1:30" ht="12.75" x14ac:dyDescent="0.2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spans="1:30" ht="12.75" x14ac:dyDescent="0.2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spans="1:30" ht="12.75" x14ac:dyDescent="0.2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spans="1:30" ht="12.75" x14ac:dyDescent="0.2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spans="1:30" ht="12.75" x14ac:dyDescent="0.2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spans="1:30" ht="12.75" x14ac:dyDescent="0.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spans="1:30" ht="12.75" x14ac:dyDescent="0.2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spans="1:30" ht="12.75" x14ac:dyDescent="0.2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spans="1:30" ht="12.75" x14ac:dyDescent="0.2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spans="1:30" ht="12.75" x14ac:dyDescent="0.2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spans="1:30" ht="12.75" x14ac:dyDescent="0.2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spans="1:30" ht="12.75" x14ac:dyDescent="0.2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spans="1:30" ht="12.75" x14ac:dyDescent="0.2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spans="1:30" ht="12.75" x14ac:dyDescent="0.2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spans="1:30" ht="12.75" x14ac:dyDescent="0.2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spans="1:30" ht="12.75" x14ac:dyDescent="0.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spans="1:30" ht="12.75" x14ac:dyDescent="0.2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spans="1:30" ht="12.75" x14ac:dyDescent="0.2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spans="1:30" ht="12.75" x14ac:dyDescent="0.2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spans="1:30" ht="12.75" x14ac:dyDescent="0.2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spans="1:30" ht="12.75" x14ac:dyDescent="0.2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spans="1:30" ht="12.75" x14ac:dyDescent="0.2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spans="1:30" ht="12.75" x14ac:dyDescent="0.2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spans="1:30" ht="12.75" x14ac:dyDescent="0.2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spans="1:30" ht="12.75" x14ac:dyDescent="0.2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spans="1:30" ht="12.75" x14ac:dyDescent="0.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spans="1:30" ht="12.75" x14ac:dyDescent="0.2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spans="1:30" ht="12.75" x14ac:dyDescent="0.2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spans="1:30" ht="12.75" x14ac:dyDescent="0.2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spans="1:30" ht="12.75" x14ac:dyDescent="0.2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spans="1:30" ht="12.75" x14ac:dyDescent="0.2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spans="1:30" ht="12.75" x14ac:dyDescent="0.2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spans="1:30" ht="12.75" x14ac:dyDescent="0.2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spans="1:30" ht="12.75" x14ac:dyDescent="0.2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spans="1:30" ht="12.75" x14ac:dyDescent="0.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spans="1:30" ht="12.75" x14ac:dyDescent="0.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spans="1:30" ht="12.75" x14ac:dyDescent="0.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spans="1:30" ht="12.75" x14ac:dyDescent="0.2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spans="1:30" ht="12.75" x14ac:dyDescent="0.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spans="1:30" ht="12.75" x14ac:dyDescent="0.2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spans="1:30" ht="12.75" x14ac:dyDescent="0.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spans="1:30" ht="12.75" x14ac:dyDescent="0.2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spans="1:30" ht="12.75" x14ac:dyDescent="0.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spans="1:30" ht="12.75" x14ac:dyDescent="0.2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spans="1:30" ht="12.75" x14ac:dyDescent="0.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spans="1:30" ht="12.75" x14ac:dyDescent="0.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 spans="1:30" ht="12.75" x14ac:dyDescent="0.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 spans="1:30" ht="12.75" x14ac:dyDescent="0.2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</row>
    <row r="555" spans="1:30" ht="12.75" x14ac:dyDescent="0.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</row>
    <row r="556" spans="1:30" ht="12.75" x14ac:dyDescent="0.2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</row>
    <row r="557" spans="1:30" ht="12.75" x14ac:dyDescent="0.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</row>
    <row r="558" spans="1:30" ht="12.75" x14ac:dyDescent="0.2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</row>
    <row r="559" spans="1:30" ht="12.75" x14ac:dyDescent="0.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</row>
    <row r="560" spans="1:30" ht="12.75" x14ac:dyDescent="0.2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</row>
    <row r="561" spans="1:30" ht="12.75" x14ac:dyDescent="0.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</row>
    <row r="562" spans="1:30" ht="12.75" x14ac:dyDescent="0.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</row>
    <row r="563" spans="1:30" ht="12.75" x14ac:dyDescent="0.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</row>
    <row r="564" spans="1:30" ht="12.75" x14ac:dyDescent="0.2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</row>
    <row r="565" spans="1:30" ht="12.75" x14ac:dyDescent="0.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</row>
    <row r="566" spans="1:30" ht="12.75" x14ac:dyDescent="0.2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</row>
    <row r="567" spans="1:30" ht="12.75" x14ac:dyDescent="0.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</row>
    <row r="568" spans="1:30" ht="12.75" x14ac:dyDescent="0.2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</row>
    <row r="569" spans="1:30" ht="12.75" x14ac:dyDescent="0.2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</row>
    <row r="570" spans="1:30" ht="12.75" x14ac:dyDescent="0.2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</row>
    <row r="571" spans="1:30" ht="12.75" x14ac:dyDescent="0.2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</row>
    <row r="572" spans="1:30" ht="12.75" x14ac:dyDescent="0.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</row>
    <row r="573" spans="1:30" ht="12.75" x14ac:dyDescent="0.2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</row>
    <row r="574" spans="1:30" ht="12.75" x14ac:dyDescent="0.2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</row>
    <row r="575" spans="1:30" ht="12.75" x14ac:dyDescent="0.2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</row>
    <row r="576" spans="1:30" ht="12.75" x14ac:dyDescent="0.2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</row>
    <row r="577" spans="1:30" ht="12.75" x14ac:dyDescent="0.2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</row>
    <row r="578" spans="1:30" ht="12.75" x14ac:dyDescent="0.2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</row>
    <row r="579" spans="1:30" ht="12.75" x14ac:dyDescent="0.2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</row>
    <row r="580" spans="1:30" ht="12.75" x14ac:dyDescent="0.2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</row>
    <row r="581" spans="1:30" ht="12.75" x14ac:dyDescent="0.2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</row>
    <row r="582" spans="1:30" ht="12.75" x14ac:dyDescent="0.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</row>
    <row r="583" spans="1:30" ht="12.75" x14ac:dyDescent="0.2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</row>
    <row r="584" spans="1:30" ht="12.75" x14ac:dyDescent="0.2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</row>
    <row r="585" spans="1:30" ht="12.75" x14ac:dyDescent="0.2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</row>
    <row r="586" spans="1:30" ht="12.75" x14ac:dyDescent="0.2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</row>
    <row r="587" spans="1:30" ht="12.75" x14ac:dyDescent="0.2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</row>
    <row r="588" spans="1:30" ht="12.75" x14ac:dyDescent="0.2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</row>
    <row r="589" spans="1:30" ht="12.75" x14ac:dyDescent="0.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</row>
    <row r="590" spans="1:30" ht="12.75" x14ac:dyDescent="0.2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</row>
    <row r="591" spans="1:30" ht="12.75" x14ac:dyDescent="0.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</row>
    <row r="592" spans="1:30" ht="12.75" x14ac:dyDescent="0.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</row>
    <row r="593" spans="1:30" ht="12.75" x14ac:dyDescent="0.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</row>
    <row r="594" spans="1:30" ht="12.75" x14ac:dyDescent="0.2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</row>
    <row r="595" spans="1:30" ht="12.75" x14ac:dyDescent="0.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</row>
    <row r="596" spans="1:30" ht="12.75" x14ac:dyDescent="0.2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</row>
    <row r="597" spans="1:30" ht="12.75" x14ac:dyDescent="0.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</row>
    <row r="598" spans="1:30" ht="12.75" x14ac:dyDescent="0.2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</row>
    <row r="599" spans="1:30" ht="12.75" x14ac:dyDescent="0.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</row>
    <row r="600" spans="1:30" ht="12.75" x14ac:dyDescent="0.2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</row>
    <row r="601" spans="1:30" ht="12.75" x14ac:dyDescent="0.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</row>
    <row r="602" spans="1:30" ht="12.75" x14ac:dyDescent="0.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</row>
    <row r="603" spans="1:30" ht="12.75" x14ac:dyDescent="0.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</row>
    <row r="604" spans="1:30" ht="12.75" x14ac:dyDescent="0.2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</row>
    <row r="605" spans="1:30" ht="12.75" x14ac:dyDescent="0.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</row>
    <row r="606" spans="1:30" ht="12.75" x14ac:dyDescent="0.2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</row>
    <row r="607" spans="1:30" ht="12.75" x14ac:dyDescent="0.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</row>
    <row r="608" spans="1:30" ht="12.75" x14ac:dyDescent="0.2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</row>
    <row r="609" spans="1:30" ht="12.75" x14ac:dyDescent="0.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</row>
    <row r="610" spans="1:30" ht="12.75" x14ac:dyDescent="0.2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</row>
    <row r="611" spans="1:30" ht="12.75" x14ac:dyDescent="0.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</row>
    <row r="612" spans="1:30" ht="12.75" x14ac:dyDescent="0.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</row>
    <row r="613" spans="1:30" ht="12.75" x14ac:dyDescent="0.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</row>
    <row r="614" spans="1:30" ht="12.75" x14ac:dyDescent="0.2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</row>
    <row r="615" spans="1:30" ht="12.75" x14ac:dyDescent="0.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</row>
    <row r="616" spans="1:30" ht="12.75" x14ac:dyDescent="0.2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</row>
    <row r="617" spans="1:30" ht="12.75" x14ac:dyDescent="0.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</row>
    <row r="618" spans="1:30" ht="12.75" x14ac:dyDescent="0.2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</row>
    <row r="619" spans="1:30" ht="12.75" x14ac:dyDescent="0.2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</row>
    <row r="620" spans="1:30" ht="12.75" x14ac:dyDescent="0.2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</row>
    <row r="621" spans="1:30" ht="12.75" x14ac:dyDescent="0.2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</row>
    <row r="622" spans="1:30" ht="12.75" x14ac:dyDescent="0.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</row>
    <row r="623" spans="1:30" ht="12.75" x14ac:dyDescent="0.2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</row>
    <row r="624" spans="1:30" ht="12.75" x14ac:dyDescent="0.2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</row>
    <row r="625" spans="1:30" ht="12.75" x14ac:dyDescent="0.2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</row>
    <row r="626" spans="1:30" ht="12.75" x14ac:dyDescent="0.2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</row>
    <row r="627" spans="1:30" ht="12.75" x14ac:dyDescent="0.2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</row>
    <row r="628" spans="1:30" ht="12.75" x14ac:dyDescent="0.2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</row>
    <row r="629" spans="1:30" ht="12.75" x14ac:dyDescent="0.2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</row>
    <row r="630" spans="1:30" ht="12.75" x14ac:dyDescent="0.2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</row>
    <row r="631" spans="1:30" ht="12.75" x14ac:dyDescent="0.2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</row>
    <row r="632" spans="1:30" ht="12.75" x14ac:dyDescent="0.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</row>
    <row r="633" spans="1:30" ht="12.75" x14ac:dyDescent="0.2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</row>
    <row r="634" spans="1:30" ht="12.75" x14ac:dyDescent="0.2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</row>
    <row r="635" spans="1:30" ht="12.75" x14ac:dyDescent="0.2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</row>
    <row r="636" spans="1:30" ht="12.75" x14ac:dyDescent="0.2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</row>
    <row r="637" spans="1:30" ht="12.75" x14ac:dyDescent="0.2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</row>
    <row r="638" spans="1:30" ht="12.75" x14ac:dyDescent="0.2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</row>
    <row r="639" spans="1:30" ht="12.75" x14ac:dyDescent="0.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</row>
    <row r="640" spans="1:30" ht="12.75" x14ac:dyDescent="0.2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</row>
    <row r="641" spans="1:30" ht="12.75" x14ac:dyDescent="0.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</row>
    <row r="642" spans="1:30" ht="12.75" x14ac:dyDescent="0.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</row>
    <row r="643" spans="1:30" ht="12.75" x14ac:dyDescent="0.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</row>
    <row r="644" spans="1:30" ht="12.75" x14ac:dyDescent="0.2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</row>
    <row r="645" spans="1:30" ht="12.75" x14ac:dyDescent="0.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</row>
    <row r="646" spans="1:30" ht="12.75" x14ac:dyDescent="0.2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</row>
    <row r="647" spans="1:30" ht="12.75" x14ac:dyDescent="0.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</row>
    <row r="648" spans="1:30" ht="12.75" x14ac:dyDescent="0.2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</row>
    <row r="649" spans="1:30" ht="12.75" x14ac:dyDescent="0.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</row>
    <row r="650" spans="1:30" ht="12.75" x14ac:dyDescent="0.2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</row>
    <row r="651" spans="1:30" ht="12.75" x14ac:dyDescent="0.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</row>
    <row r="652" spans="1:30" ht="12.75" x14ac:dyDescent="0.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</row>
    <row r="653" spans="1:30" ht="12.75" x14ac:dyDescent="0.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</row>
    <row r="654" spans="1:30" ht="12.75" x14ac:dyDescent="0.2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</row>
    <row r="655" spans="1:30" ht="12.75" x14ac:dyDescent="0.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</row>
    <row r="656" spans="1:30" ht="12.75" x14ac:dyDescent="0.2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</row>
    <row r="657" spans="1:30" ht="12.75" x14ac:dyDescent="0.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</row>
    <row r="658" spans="1:30" ht="12.75" x14ac:dyDescent="0.2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</row>
    <row r="659" spans="1:30" ht="12.75" x14ac:dyDescent="0.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</row>
    <row r="660" spans="1:30" ht="12.75" x14ac:dyDescent="0.2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</row>
    <row r="661" spans="1:30" ht="12.75" x14ac:dyDescent="0.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</row>
    <row r="662" spans="1:30" ht="12.75" x14ac:dyDescent="0.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</row>
    <row r="663" spans="1:30" ht="12.75" x14ac:dyDescent="0.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</row>
    <row r="664" spans="1:30" ht="12.75" x14ac:dyDescent="0.2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</row>
    <row r="665" spans="1:30" ht="12.75" x14ac:dyDescent="0.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</row>
    <row r="666" spans="1:30" ht="12.75" x14ac:dyDescent="0.2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</row>
    <row r="667" spans="1:30" ht="12.75" x14ac:dyDescent="0.2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</row>
    <row r="668" spans="1:30" ht="12.75" x14ac:dyDescent="0.2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</row>
    <row r="669" spans="1:30" ht="12.75" x14ac:dyDescent="0.2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</row>
    <row r="670" spans="1:30" ht="12.75" x14ac:dyDescent="0.2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</row>
    <row r="671" spans="1:30" ht="12.75" x14ac:dyDescent="0.2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</row>
    <row r="672" spans="1:30" ht="12.75" x14ac:dyDescent="0.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</row>
    <row r="673" spans="1:30" ht="12.75" x14ac:dyDescent="0.2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</row>
    <row r="674" spans="1:30" ht="12.75" x14ac:dyDescent="0.2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</row>
    <row r="675" spans="1:30" ht="12.75" x14ac:dyDescent="0.2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</row>
    <row r="676" spans="1:30" ht="12.75" x14ac:dyDescent="0.2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</row>
    <row r="677" spans="1:30" ht="12.75" x14ac:dyDescent="0.2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</row>
    <row r="678" spans="1:30" ht="12.75" x14ac:dyDescent="0.2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</row>
    <row r="679" spans="1:30" ht="12.75" x14ac:dyDescent="0.2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</row>
    <row r="680" spans="1:30" ht="12.75" x14ac:dyDescent="0.2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</row>
    <row r="681" spans="1:30" ht="12.75" x14ac:dyDescent="0.2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</row>
    <row r="682" spans="1:30" ht="12.75" x14ac:dyDescent="0.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</row>
    <row r="683" spans="1:30" ht="12.75" x14ac:dyDescent="0.2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</row>
    <row r="684" spans="1:30" ht="12.75" x14ac:dyDescent="0.2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</row>
    <row r="685" spans="1:30" ht="12.75" x14ac:dyDescent="0.2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</row>
    <row r="686" spans="1:30" ht="12.75" x14ac:dyDescent="0.2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</row>
    <row r="687" spans="1:30" ht="12.75" x14ac:dyDescent="0.2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</row>
    <row r="688" spans="1:30" ht="12.75" x14ac:dyDescent="0.2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</row>
    <row r="689" spans="1:30" ht="12.75" x14ac:dyDescent="0.2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</row>
    <row r="690" spans="1:30" ht="12.75" x14ac:dyDescent="0.2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</row>
    <row r="691" spans="1:30" ht="12.75" x14ac:dyDescent="0.2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</row>
    <row r="692" spans="1:30" ht="12.75" x14ac:dyDescent="0.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</row>
    <row r="693" spans="1:30" ht="12.75" x14ac:dyDescent="0.2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</row>
    <row r="694" spans="1:30" ht="12.75" x14ac:dyDescent="0.2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</row>
    <row r="695" spans="1:30" ht="12.75" x14ac:dyDescent="0.2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</row>
    <row r="696" spans="1:30" ht="12.75" x14ac:dyDescent="0.2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</row>
    <row r="697" spans="1:30" ht="12.75" x14ac:dyDescent="0.2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</row>
    <row r="698" spans="1:30" ht="12.75" x14ac:dyDescent="0.2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</row>
    <row r="699" spans="1:30" ht="12.75" x14ac:dyDescent="0.2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</row>
    <row r="700" spans="1:30" ht="12.75" x14ac:dyDescent="0.2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</row>
    <row r="701" spans="1:30" ht="12.75" x14ac:dyDescent="0.2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</row>
    <row r="702" spans="1:30" ht="12.75" x14ac:dyDescent="0.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</row>
    <row r="703" spans="1:30" ht="12.75" x14ac:dyDescent="0.2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</row>
    <row r="704" spans="1:30" ht="12.75" x14ac:dyDescent="0.2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</row>
    <row r="705" spans="1:30" ht="12.75" x14ac:dyDescent="0.2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</row>
    <row r="706" spans="1:30" ht="12.75" x14ac:dyDescent="0.2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</row>
    <row r="707" spans="1:30" ht="12.75" x14ac:dyDescent="0.2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</row>
    <row r="708" spans="1:30" ht="12.75" x14ac:dyDescent="0.2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</row>
    <row r="709" spans="1:30" ht="12.75" x14ac:dyDescent="0.2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</row>
    <row r="710" spans="1:30" ht="12.75" x14ac:dyDescent="0.2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</row>
    <row r="711" spans="1:30" ht="12.75" x14ac:dyDescent="0.2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</row>
    <row r="712" spans="1:30" ht="12.75" x14ac:dyDescent="0.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</row>
    <row r="713" spans="1:30" ht="12.75" x14ac:dyDescent="0.2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</row>
    <row r="714" spans="1:30" ht="12.75" x14ac:dyDescent="0.2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</row>
    <row r="715" spans="1:30" ht="12.75" x14ac:dyDescent="0.2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</row>
    <row r="716" spans="1:30" ht="12.75" x14ac:dyDescent="0.2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</row>
    <row r="717" spans="1:30" ht="12.75" x14ac:dyDescent="0.2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</row>
    <row r="718" spans="1:30" ht="12.75" x14ac:dyDescent="0.2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</row>
    <row r="719" spans="1:30" ht="12.75" x14ac:dyDescent="0.2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</row>
    <row r="720" spans="1:30" ht="12.75" x14ac:dyDescent="0.2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</row>
    <row r="721" spans="1:30" ht="12.75" x14ac:dyDescent="0.2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</row>
    <row r="722" spans="1:30" ht="12.75" x14ac:dyDescent="0.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</row>
    <row r="723" spans="1:30" ht="12.75" x14ac:dyDescent="0.2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</row>
    <row r="724" spans="1:30" ht="12.75" x14ac:dyDescent="0.2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</row>
    <row r="725" spans="1:30" ht="12.75" x14ac:dyDescent="0.2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</row>
    <row r="726" spans="1:30" ht="12.75" x14ac:dyDescent="0.2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</row>
    <row r="727" spans="1:30" ht="12.75" x14ac:dyDescent="0.2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</row>
    <row r="728" spans="1:30" ht="12.75" x14ac:dyDescent="0.2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</row>
    <row r="729" spans="1:30" ht="12.75" x14ac:dyDescent="0.2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</row>
    <row r="730" spans="1:30" ht="12.75" x14ac:dyDescent="0.2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</row>
    <row r="731" spans="1:30" ht="12.75" x14ac:dyDescent="0.2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</row>
    <row r="732" spans="1:30" ht="12.75" x14ac:dyDescent="0.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</row>
    <row r="733" spans="1:30" ht="12.75" x14ac:dyDescent="0.2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</row>
    <row r="734" spans="1:30" ht="12.75" x14ac:dyDescent="0.2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</row>
    <row r="735" spans="1:30" ht="12.75" x14ac:dyDescent="0.2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</row>
    <row r="736" spans="1:30" ht="12.75" x14ac:dyDescent="0.2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</row>
    <row r="737" spans="1:30" ht="12.75" x14ac:dyDescent="0.2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</row>
    <row r="738" spans="1:30" ht="12.75" x14ac:dyDescent="0.2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</row>
    <row r="739" spans="1:30" ht="12.75" x14ac:dyDescent="0.2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</row>
    <row r="740" spans="1:30" ht="12.75" x14ac:dyDescent="0.2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</row>
    <row r="741" spans="1:30" ht="12.75" x14ac:dyDescent="0.2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</row>
    <row r="742" spans="1:30" ht="12.75" x14ac:dyDescent="0.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</row>
    <row r="743" spans="1:30" ht="12.75" x14ac:dyDescent="0.2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</row>
    <row r="744" spans="1:30" ht="12.75" x14ac:dyDescent="0.2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</row>
    <row r="745" spans="1:30" ht="12.75" x14ac:dyDescent="0.2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</row>
    <row r="746" spans="1:30" ht="12.75" x14ac:dyDescent="0.2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</row>
    <row r="747" spans="1:30" ht="12.75" x14ac:dyDescent="0.2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</row>
    <row r="748" spans="1:30" ht="12.75" x14ac:dyDescent="0.2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</row>
    <row r="749" spans="1:30" ht="12.75" x14ac:dyDescent="0.2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</row>
    <row r="750" spans="1:30" ht="12.75" x14ac:dyDescent="0.2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</row>
    <row r="751" spans="1:30" ht="12.75" x14ac:dyDescent="0.2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</row>
    <row r="752" spans="1:30" ht="12.75" x14ac:dyDescent="0.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</row>
    <row r="753" spans="1:30" ht="12.75" x14ac:dyDescent="0.2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</row>
    <row r="754" spans="1:30" ht="12.75" x14ac:dyDescent="0.2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</row>
    <row r="755" spans="1:30" ht="12.75" x14ac:dyDescent="0.2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</row>
    <row r="756" spans="1:30" ht="12.75" x14ac:dyDescent="0.2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</row>
    <row r="757" spans="1:30" ht="12.75" x14ac:dyDescent="0.2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</row>
    <row r="758" spans="1:30" ht="12.75" x14ac:dyDescent="0.2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</row>
    <row r="759" spans="1:30" ht="12.75" x14ac:dyDescent="0.2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</row>
    <row r="760" spans="1:30" ht="12.75" x14ac:dyDescent="0.2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</row>
    <row r="761" spans="1:30" ht="12.75" x14ac:dyDescent="0.2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</row>
    <row r="762" spans="1:30" ht="12.75" x14ac:dyDescent="0.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</row>
    <row r="763" spans="1:30" ht="12.75" x14ac:dyDescent="0.2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</row>
    <row r="764" spans="1:30" ht="12.75" x14ac:dyDescent="0.2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</row>
    <row r="765" spans="1:30" ht="12.75" x14ac:dyDescent="0.2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</row>
    <row r="766" spans="1:30" ht="12.75" x14ac:dyDescent="0.2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</row>
    <row r="767" spans="1:30" ht="12.75" x14ac:dyDescent="0.2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</row>
    <row r="768" spans="1:30" ht="12.75" x14ac:dyDescent="0.2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</row>
    <row r="769" spans="1:30" ht="12.75" x14ac:dyDescent="0.2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</row>
    <row r="770" spans="1:30" ht="12.75" x14ac:dyDescent="0.2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</row>
    <row r="771" spans="1:30" ht="12.75" x14ac:dyDescent="0.2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</row>
    <row r="772" spans="1:30" ht="12.75" x14ac:dyDescent="0.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</row>
    <row r="773" spans="1:30" ht="12.75" x14ac:dyDescent="0.2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</row>
    <row r="774" spans="1:30" ht="12.75" x14ac:dyDescent="0.2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</row>
    <row r="775" spans="1:30" ht="12.75" x14ac:dyDescent="0.2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</row>
    <row r="776" spans="1:30" ht="12.75" x14ac:dyDescent="0.2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</row>
    <row r="777" spans="1:30" ht="12.75" x14ac:dyDescent="0.2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</row>
    <row r="778" spans="1:30" ht="12.75" x14ac:dyDescent="0.2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</row>
    <row r="779" spans="1:30" ht="12.75" x14ac:dyDescent="0.2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</row>
    <row r="780" spans="1:30" ht="12.75" x14ac:dyDescent="0.2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</row>
    <row r="781" spans="1:30" ht="12.75" x14ac:dyDescent="0.2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</row>
    <row r="782" spans="1:30" ht="12.75" x14ac:dyDescent="0.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</row>
    <row r="783" spans="1:30" ht="12.75" x14ac:dyDescent="0.2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</row>
    <row r="784" spans="1:30" ht="12.75" x14ac:dyDescent="0.2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</row>
    <row r="785" spans="1:30" ht="12.75" x14ac:dyDescent="0.2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</row>
    <row r="786" spans="1:30" ht="12.75" x14ac:dyDescent="0.2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</row>
    <row r="787" spans="1:30" ht="12.75" x14ac:dyDescent="0.2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</row>
    <row r="788" spans="1:30" ht="12.75" x14ac:dyDescent="0.2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</row>
    <row r="789" spans="1:30" ht="12.75" x14ac:dyDescent="0.2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</row>
    <row r="790" spans="1:30" ht="12.75" x14ac:dyDescent="0.2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</row>
    <row r="791" spans="1:30" ht="12.75" x14ac:dyDescent="0.2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</row>
    <row r="792" spans="1:30" ht="12.75" x14ac:dyDescent="0.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</row>
    <row r="793" spans="1:30" ht="12.75" x14ac:dyDescent="0.2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</row>
    <row r="794" spans="1:30" ht="12.75" x14ac:dyDescent="0.2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</row>
    <row r="795" spans="1:30" ht="12.75" x14ac:dyDescent="0.2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</row>
    <row r="796" spans="1:30" ht="12.75" x14ac:dyDescent="0.2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</row>
    <row r="797" spans="1:30" ht="12.75" x14ac:dyDescent="0.2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</row>
    <row r="798" spans="1:30" ht="12.75" x14ac:dyDescent="0.2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</row>
    <row r="799" spans="1:30" ht="12.75" x14ac:dyDescent="0.2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</row>
    <row r="800" spans="1:30" ht="12.75" x14ac:dyDescent="0.2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</row>
    <row r="801" spans="1:30" ht="12.75" x14ac:dyDescent="0.2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</row>
    <row r="802" spans="1:30" ht="12.75" x14ac:dyDescent="0.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</row>
    <row r="803" spans="1:30" ht="12.75" x14ac:dyDescent="0.2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</row>
    <row r="804" spans="1:30" ht="12.75" x14ac:dyDescent="0.2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</row>
    <row r="805" spans="1:30" ht="12.75" x14ac:dyDescent="0.2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</row>
    <row r="806" spans="1:30" ht="12.75" x14ac:dyDescent="0.2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</row>
    <row r="807" spans="1:30" ht="12.75" x14ac:dyDescent="0.2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</row>
    <row r="808" spans="1:30" ht="12.75" x14ac:dyDescent="0.2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</row>
    <row r="809" spans="1:30" ht="12.75" x14ac:dyDescent="0.2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</row>
    <row r="810" spans="1:30" ht="12.75" x14ac:dyDescent="0.2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</row>
    <row r="811" spans="1:30" ht="12.75" x14ac:dyDescent="0.2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</row>
    <row r="812" spans="1:30" ht="12.75" x14ac:dyDescent="0.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</row>
    <row r="813" spans="1:30" ht="12.75" x14ac:dyDescent="0.2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</row>
    <row r="814" spans="1:30" ht="12.75" x14ac:dyDescent="0.2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</row>
    <row r="815" spans="1:30" ht="12.75" x14ac:dyDescent="0.2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</row>
    <row r="816" spans="1:30" ht="12.75" x14ac:dyDescent="0.2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</row>
    <row r="817" spans="1:30" ht="12.75" x14ac:dyDescent="0.2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</row>
    <row r="818" spans="1:30" ht="12.75" x14ac:dyDescent="0.2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</row>
    <row r="819" spans="1:30" ht="12.75" x14ac:dyDescent="0.2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</row>
    <row r="820" spans="1:30" ht="12.75" x14ac:dyDescent="0.2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</row>
    <row r="821" spans="1:30" ht="12.75" x14ac:dyDescent="0.2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</row>
    <row r="822" spans="1:30" ht="12.75" x14ac:dyDescent="0.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</row>
    <row r="823" spans="1:30" ht="12.75" x14ac:dyDescent="0.2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</row>
    <row r="824" spans="1:30" ht="12.75" x14ac:dyDescent="0.2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</row>
    <row r="825" spans="1:30" ht="12.75" x14ac:dyDescent="0.2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</row>
    <row r="826" spans="1:30" ht="12.75" x14ac:dyDescent="0.2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</row>
    <row r="827" spans="1:30" ht="12.75" x14ac:dyDescent="0.2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</row>
    <row r="828" spans="1:30" ht="12.75" x14ac:dyDescent="0.2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</row>
    <row r="829" spans="1:30" ht="12.75" x14ac:dyDescent="0.2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</row>
    <row r="830" spans="1:30" ht="12.75" x14ac:dyDescent="0.2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</row>
    <row r="831" spans="1:30" ht="12.75" x14ac:dyDescent="0.2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</row>
    <row r="832" spans="1:30" ht="12.75" x14ac:dyDescent="0.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</row>
    <row r="833" spans="1:30" ht="12.75" x14ac:dyDescent="0.2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</row>
    <row r="834" spans="1:30" ht="12.75" x14ac:dyDescent="0.2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</row>
    <row r="835" spans="1:30" ht="12.75" x14ac:dyDescent="0.2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</row>
    <row r="836" spans="1:30" ht="12.75" x14ac:dyDescent="0.2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</row>
    <row r="837" spans="1:30" ht="12.75" x14ac:dyDescent="0.2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</row>
    <row r="838" spans="1:30" ht="12.75" x14ac:dyDescent="0.2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</row>
    <row r="839" spans="1:30" ht="12.75" x14ac:dyDescent="0.2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</row>
    <row r="840" spans="1:30" ht="12.75" x14ac:dyDescent="0.2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</row>
    <row r="841" spans="1:30" ht="12.75" x14ac:dyDescent="0.2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</row>
    <row r="842" spans="1:30" ht="12.75" x14ac:dyDescent="0.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</row>
    <row r="843" spans="1:30" ht="12.75" x14ac:dyDescent="0.2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</row>
    <row r="844" spans="1:30" ht="12.75" x14ac:dyDescent="0.2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</row>
    <row r="845" spans="1:30" ht="12.75" x14ac:dyDescent="0.2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</row>
    <row r="846" spans="1:30" ht="12.75" x14ac:dyDescent="0.2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</row>
    <row r="847" spans="1:30" ht="12.75" x14ac:dyDescent="0.2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</row>
    <row r="848" spans="1:30" ht="12.75" x14ac:dyDescent="0.2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</row>
    <row r="849" spans="1:30" ht="12.75" x14ac:dyDescent="0.2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</row>
    <row r="850" spans="1:30" ht="12.75" x14ac:dyDescent="0.2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</row>
    <row r="851" spans="1:30" ht="12.75" x14ac:dyDescent="0.2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</row>
    <row r="852" spans="1:30" ht="12.75" x14ac:dyDescent="0.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</row>
    <row r="853" spans="1:30" ht="12.75" x14ac:dyDescent="0.2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</row>
    <row r="854" spans="1:30" ht="12.75" x14ac:dyDescent="0.2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</row>
    <row r="855" spans="1:30" ht="12.75" x14ac:dyDescent="0.2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</row>
    <row r="856" spans="1:30" ht="12.75" x14ac:dyDescent="0.2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</row>
    <row r="857" spans="1:30" ht="12.75" x14ac:dyDescent="0.2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</row>
    <row r="858" spans="1:30" ht="12.75" x14ac:dyDescent="0.2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</row>
    <row r="859" spans="1:30" ht="12.75" x14ac:dyDescent="0.2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</row>
    <row r="860" spans="1:30" ht="12.75" x14ac:dyDescent="0.2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</row>
    <row r="861" spans="1:30" ht="12.75" x14ac:dyDescent="0.2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</row>
    <row r="862" spans="1:30" ht="12.75" x14ac:dyDescent="0.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</row>
    <row r="863" spans="1:30" ht="12.75" x14ac:dyDescent="0.2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</row>
    <row r="864" spans="1:30" ht="12.75" x14ac:dyDescent="0.2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</row>
    <row r="865" spans="1:30" ht="12.75" x14ac:dyDescent="0.2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</row>
    <row r="866" spans="1:30" ht="12.75" x14ac:dyDescent="0.2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</row>
    <row r="867" spans="1:30" ht="12.75" x14ac:dyDescent="0.2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</row>
    <row r="868" spans="1:30" ht="12.75" x14ac:dyDescent="0.2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</row>
    <row r="869" spans="1:30" ht="12.75" x14ac:dyDescent="0.2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</row>
    <row r="870" spans="1:30" ht="12.75" x14ac:dyDescent="0.2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</row>
    <row r="871" spans="1:30" ht="12.75" x14ac:dyDescent="0.2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</row>
    <row r="872" spans="1:30" ht="12.75" x14ac:dyDescent="0.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</row>
    <row r="873" spans="1:30" ht="12.75" x14ac:dyDescent="0.2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</row>
    <row r="874" spans="1:30" ht="12.75" x14ac:dyDescent="0.2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</row>
    <row r="875" spans="1:30" ht="12.75" x14ac:dyDescent="0.2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</row>
    <row r="876" spans="1:30" ht="12.75" x14ac:dyDescent="0.2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</row>
    <row r="877" spans="1:30" ht="12.75" x14ac:dyDescent="0.2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</row>
    <row r="878" spans="1:30" ht="12.75" x14ac:dyDescent="0.2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</row>
    <row r="879" spans="1:30" ht="12.75" x14ac:dyDescent="0.2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</row>
    <row r="880" spans="1:30" ht="12.75" x14ac:dyDescent="0.2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</row>
    <row r="881" spans="1:30" ht="12.75" x14ac:dyDescent="0.2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</row>
    <row r="882" spans="1:30" ht="12.75" x14ac:dyDescent="0.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</row>
    <row r="883" spans="1:30" ht="12.75" x14ac:dyDescent="0.2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</row>
    <row r="884" spans="1:30" ht="12.75" x14ac:dyDescent="0.2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</row>
    <row r="885" spans="1:30" ht="12.75" x14ac:dyDescent="0.2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</row>
    <row r="886" spans="1:30" ht="12.75" x14ac:dyDescent="0.2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</row>
    <row r="887" spans="1:30" ht="12.75" x14ac:dyDescent="0.2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</row>
    <row r="888" spans="1:30" ht="12.75" x14ac:dyDescent="0.2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</row>
    <row r="889" spans="1:30" ht="12.75" x14ac:dyDescent="0.2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</row>
    <row r="890" spans="1:30" ht="12.75" x14ac:dyDescent="0.2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</row>
    <row r="891" spans="1:30" ht="12.75" x14ac:dyDescent="0.2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</row>
    <row r="892" spans="1:30" ht="12.75" x14ac:dyDescent="0.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</row>
    <row r="893" spans="1:30" ht="12.75" x14ac:dyDescent="0.2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</row>
    <row r="894" spans="1:30" ht="12.75" x14ac:dyDescent="0.2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</row>
    <row r="895" spans="1:30" ht="12.75" x14ac:dyDescent="0.2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</row>
    <row r="896" spans="1:30" ht="12.75" x14ac:dyDescent="0.2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</row>
    <row r="897" spans="1:30" ht="12.75" x14ac:dyDescent="0.2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</row>
    <row r="898" spans="1:30" ht="12.75" x14ac:dyDescent="0.2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</row>
    <row r="899" spans="1:30" ht="12.75" x14ac:dyDescent="0.2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</row>
    <row r="900" spans="1:30" ht="12.75" x14ac:dyDescent="0.2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</row>
    <row r="901" spans="1:30" ht="12.75" x14ac:dyDescent="0.2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</row>
    <row r="902" spans="1:30" ht="12.75" x14ac:dyDescent="0.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</row>
    <row r="903" spans="1:30" ht="12.75" x14ac:dyDescent="0.2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</row>
    <row r="904" spans="1:30" ht="12.75" x14ac:dyDescent="0.2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</row>
    <row r="905" spans="1:30" ht="12.75" x14ac:dyDescent="0.2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</row>
    <row r="906" spans="1:30" ht="12.75" x14ac:dyDescent="0.2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</row>
    <row r="907" spans="1:30" ht="12.75" x14ac:dyDescent="0.2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</row>
    <row r="908" spans="1:30" ht="12.75" x14ac:dyDescent="0.2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</row>
    <row r="909" spans="1:30" ht="12.75" x14ac:dyDescent="0.2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</row>
    <row r="910" spans="1:30" ht="12.75" x14ac:dyDescent="0.2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</row>
    <row r="911" spans="1:30" ht="12.75" x14ac:dyDescent="0.2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</row>
    <row r="912" spans="1:30" ht="12.75" x14ac:dyDescent="0.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</row>
    <row r="913" spans="1:30" ht="12.75" x14ac:dyDescent="0.2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</row>
    <row r="914" spans="1:30" ht="12.75" x14ac:dyDescent="0.2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</row>
    <row r="915" spans="1:30" ht="12.75" x14ac:dyDescent="0.2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</row>
    <row r="916" spans="1:30" ht="12.75" x14ac:dyDescent="0.2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</row>
    <row r="917" spans="1:30" ht="12.75" x14ac:dyDescent="0.2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</row>
    <row r="918" spans="1:30" ht="12.75" x14ac:dyDescent="0.2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</row>
    <row r="919" spans="1:30" ht="12.75" x14ac:dyDescent="0.2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</row>
    <row r="920" spans="1:30" ht="12.75" x14ac:dyDescent="0.2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</row>
    <row r="921" spans="1:30" ht="12.75" x14ac:dyDescent="0.2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</row>
    <row r="922" spans="1:30" ht="12.75" x14ac:dyDescent="0.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</row>
    <row r="923" spans="1:30" ht="12.75" x14ac:dyDescent="0.2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</row>
    <row r="924" spans="1:30" ht="12.75" x14ac:dyDescent="0.2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</row>
    <row r="925" spans="1:30" ht="12.75" x14ac:dyDescent="0.2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</row>
    <row r="926" spans="1:30" ht="12.75" x14ac:dyDescent="0.2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</row>
    <row r="927" spans="1:30" ht="12.75" x14ac:dyDescent="0.2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</row>
    <row r="928" spans="1:30" ht="12.75" x14ac:dyDescent="0.2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</row>
    <row r="929" spans="1:30" ht="12.75" x14ac:dyDescent="0.2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</row>
    <row r="930" spans="1:30" ht="12.75" x14ac:dyDescent="0.2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</row>
    <row r="931" spans="1:30" ht="12.75" x14ac:dyDescent="0.2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</row>
    <row r="932" spans="1:30" ht="12.75" x14ac:dyDescent="0.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</row>
    <row r="933" spans="1:30" ht="12.75" x14ac:dyDescent="0.2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</row>
    <row r="934" spans="1:30" ht="12.75" x14ac:dyDescent="0.2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</row>
    <row r="935" spans="1:30" ht="12.75" x14ac:dyDescent="0.2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</row>
    <row r="936" spans="1:30" ht="12.75" x14ac:dyDescent="0.2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</row>
    <row r="937" spans="1:30" ht="12.75" x14ac:dyDescent="0.2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</row>
    <row r="938" spans="1:30" ht="12.75" x14ac:dyDescent="0.2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</row>
    <row r="939" spans="1:30" ht="12.75" x14ac:dyDescent="0.2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</row>
    <row r="940" spans="1:30" ht="12.75" x14ac:dyDescent="0.2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</row>
    <row r="941" spans="1:30" ht="12.75" x14ac:dyDescent="0.2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</row>
    <row r="942" spans="1:30" ht="12.75" x14ac:dyDescent="0.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</row>
    <row r="943" spans="1:30" ht="12.75" x14ac:dyDescent="0.2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</row>
    <row r="944" spans="1:30" ht="12.75" x14ac:dyDescent="0.2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</row>
    <row r="945" spans="1:30" ht="12.75" x14ac:dyDescent="0.2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</row>
    <row r="946" spans="1:30" ht="12.75" x14ac:dyDescent="0.2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</row>
    <row r="947" spans="1:30" ht="12.75" x14ac:dyDescent="0.2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</row>
    <row r="948" spans="1:30" ht="12.75" x14ac:dyDescent="0.2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</row>
    <row r="949" spans="1:30" ht="12.75" x14ac:dyDescent="0.2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</row>
    <row r="950" spans="1:30" ht="12.75" x14ac:dyDescent="0.2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</row>
    <row r="951" spans="1:30" ht="12.75" x14ac:dyDescent="0.2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</row>
    <row r="952" spans="1:30" ht="12.75" x14ac:dyDescent="0.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</row>
    <row r="953" spans="1:30" ht="12.75" x14ac:dyDescent="0.2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</row>
    <row r="954" spans="1:30" ht="12.75" x14ac:dyDescent="0.2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</row>
    <row r="955" spans="1:30" ht="12.75" x14ac:dyDescent="0.2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</row>
    <row r="956" spans="1:30" ht="12.75" x14ac:dyDescent="0.2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</row>
    <row r="957" spans="1:30" ht="12.75" x14ac:dyDescent="0.2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</row>
    <row r="958" spans="1:30" ht="12.75" x14ac:dyDescent="0.2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</row>
    <row r="959" spans="1:30" ht="12.75" x14ac:dyDescent="0.2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</row>
    <row r="960" spans="1:30" ht="12.75" x14ac:dyDescent="0.2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</row>
    <row r="961" spans="1:30" ht="12.75" x14ac:dyDescent="0.2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</row>
    <row r="962" spans="1:30" ht="12.75" x14ac:dyDescent="0.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</row>
    <row r="963" spans="1:30" ht="12.75" x14ac:dyDescent="0.2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</row>
    <row r="964" spans="1:30" ht="12.75" x14ac:dyDescent="0.2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</row>
    <row r="965" spans="1:30" ht="12.75" x14ac:dyDescent="0.2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</row>
    <row r="966" spans="1:30" ht="12.75" x14ac:dyDescent="0.2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</row>
    <row r="967" spans="1:30" ht="12.75" x14ac:dyDescent="0.2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</row>
    <row r="968" spans="1:30" ht="12.75" x14ac:dyDescent="0.2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</row>
    <row r="969" spans="1:30" ht="12.75" x14ac:dyDescent="0.2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</row>
    <row r="970" spans="1:30" ht="12.75" x14ac:dyDescent="0.2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</row>
    <row r="971" spans="1:30" ht="12.75" x14ac:dyDescent="0.2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</row>
    <row r="972" spans="1:30" ht="12.75" x14ac:dyDescent="0.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</row>
    <row r="973" spans="1:30" ht="12.75" x14ac:dyDescent="0.2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</row>
    <row r="974" spans="1:30" ht="12.75" x14ac:dyDescent="0.2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</row>
    <row r="975" spans="1:30" ht="12.75" x14ac:dyDescent="0.2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</row>
    <row r="976" spans="1:30" ht="12.75" x14ac:dyDescent="0.2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</row>
    <row r="977" spans="1:30" ht="12.75" x14ac:dyDescent="0.2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</row>
    <row r="978" spans="1:30" ht="12.75" x14ac:dyDescent="0.2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</row>
    <row r="979" spans="1:30" ht="12.75" x14ac:dyDescent="0.2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</row>
    <row r="980" spans="1:30" ht="12.75" x14ac:dyDescent="0.2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</row>
    <row r="981" spans="1:30" ht="12.75" x14ac:dyDescent="0.2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</row>
    <row r="982" spans="1:30" ht="12.75" x14ac:dyDescent="0.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</row>
    <row r="983" spans="1:30" ht="12.75" x14ac:dyDescent="0.2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</row>
    <row r="984" spans="1:30" ht="12.75" x14ac:dyDescent="0.2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</row>
    <row r="985" spans="1:30" ht="12.75" x14ac:dyDescent="0.2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</row>
    <row r="986" spans="1:30" ht="12.75" x14ac:dyDescent="0.2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</row>
    <row r="987" spans="1:30" ht="12.75" x14ac:dyDescent="0.2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</row>
    <row r="988" spans="1:30" ht="12.75" x14ac:dyDescent="0.2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</row>
  </sheetData>
  <hyperlinks>
    <hyperlink ref="F11" r:id="rId1" xr:uid="{00000000-0004-0000-0000-000000000000}"/>
    <hyperlink ref="F12" r:id="rId2" xr:uid="{00000000-0004-0000-0000-000001000000}"/>
    <hyperlink ref="F13" r:id="rId3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V47"/>
  <sheetViews>
    <sheetView workbookViewId="0"/>
  </sheetViews>
  <sheetFormatPr defaultColWidth="12.5703125" defaultRowHeight="15" customHeight="1" x14ac:dyDescent="0.2"/>
  <sheetData>
    <row r="1" spans="1:22" x14ac:dyDescent="0.2">
      <c r="A1" s="1"/>
      <c r="B1" s="3"/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6"/>
      <c r="N1" s="6"/>
      <c r="O1" s="6"/>
      <c r="P1" s="6"/>
      <c r="Q1" s="6"/>
      <c r="R1" s="6"/>
      <c r="S1" s="6"/>
      <c r="T1" s="6"/>
      <c r="U1" s="6"/>
      <c r="V1" s="6"/>
    </row>
    <row r="2" spans="1:22" x14ac:dyDescent="0.2">
      <c r="A2" s="29" t="s">
        <v>11</v>
      </c>
      <c r="B2" s="4" t="s">
        <v>12</v>
      </c>
      <c r="C2" s="10">
        <f t="array" ref="C2">SUM(IF(LEFT(INDEX(MatchesDB!$K$11:$Z40, 0, MATCH(C$1, MatchesDB!$K$10:$Z$10, 0)), 1)="1", 1, 0))</f>
        <v>5</v>
      </c>
      <c r="D2" s="10">
        <f t="array" ref="D2">SUM(IF(LEFT(INDEX(MatchesDB!$K$11:$Z42, 0, MATCH(D$1, MatchesDB!$K$10:$Z$10, 0)), 1)="1", 1, 0))</f>
        <v>5</v>
      </c>
      <c r="E2" s="10">
        <f t="array" ref="E2">SUM(IF(LEFT(INDEX(MatchesDB!$K$11:$Z40, 0, MATCH(E$1, MatchesDB!$K$10:$Z$10, 0)), 1)="1", 1, 0))</f>
        <v>5</v>
      </c>
      <c r="F2" s="10">
        <f t="array" ref="F2">SUM(IF(LEFT(INDEX(MatchesDB!$K$11:$Z40, 0, MATCH(F$1, MatchesDB!$K$10:$Z$10, 0)), 1)="1", 1, 0))</f>
        <v>5</v>
      </c>
      <c r="G2" s="10" t="e">
        <f t="array" ref="G2">SUM(IF(LEFT(INDEX(MatchesDB!$K$11:$Z40, 0, MATCH(G$1, MatchesDB!$K$10:$Z$10, 0)), 1)="1", 1, 0))</f>
        <v>#N/A</v>
      </c>
      <c r="H2" s="10">
        <f t="array" ref="H2">SUM(IF(LEFT(INDEX(MatchesDB!$K$11:$Z40, 0, MATCH(H$1, MatchesDB!$K$10:$Z$10, 0)), 1)="1", 1, 0))</f>
        <v>5</v>
      </c>
      <c r="I2" s="10">
        <f t="array" ref="I2">SUM(IF(LEFT(INDEX(MatchesDB!$K$11:$Z40, 0, MATCH(I$1, MatchesDB!$K$10:$Z$10, 0)), 1)="1", 1, 0))</f>
        <v>5</v>
      </c>
      <c r="J2" s="10">
        <f t="array" ref="J2">SUM(IF(LEFT(INDEX(MatchesDB!$K$11:$Z40, 0, MATCH(J$1, MatchesDB!$K$10:$Z$10, 0)), 1)="1", 1, 0))</f>
        <v>4</v>
      </c>
      <c r="K2" s="10">
        <f t="array" ref="K2">SUM(IF(LEFT(INDEX(MatchesDB!$K$11:$Z40, 0, MATCH(K$1, MatchesDB!$K$10:$Z$10, 0)), 1)="1", 1, 0))</f>
        <v>5</v>
      </c>
      <c r="L2" s="10">
        <f t="array" ref="L2">SUM(IF(LEFT(INDEX(MatchesDB!$K$11:$Z40, 0, MATCH(L$1, MatchesDB!$K$10:$Z$10, 0)), 1)="1", 1, 0))</f>
        <v>5</v>
      </c>
      <c r="M2" s="6"/>
      <c r="N2" s="6"/>
      <c r="O2" s="6"/>
      <c r="P2" s="6"/>
      <c r="Q2" s="6"/>
      <c r="R2" s="6"/>
      <c r="S2" s="6"/>
      <c r="T2" s="6"/>
      <c r="U2" s="6"/>
      <c r="V2" s="6"/>
    </row>
    <row r="3" spans="1:22" x14ac:dyDescent="0.2">
      <c r="A3" s="30"/>
      <c r="B3" s="4" t="s">
        <v>37</v>
      </c>
      <c r="C3" s="24">
        <f>C2/MatchesDB!$B$1</f>
        <v>1</v>
      </c>
      <c r="D3" s="24">
        <f>D2/MatchesDB!$B$1</f>
        <v>1</v>
      </c>
      <c r="E3" s="24">
        <f>E2/MatchesDB!$B$1</f>
        <v>1</v>
      </c>
      <c r="F3" s="24">
        <f>F2/MatchesDB!$B$1</f>
        <v>1</v>
      </c>
      <c r="G3" s="24" t="e">
        <f>G2/MatchesDB!$B$1</f>
        <v>#N/A</v>
      </c>
      <c r="H3" s="24">
        <f>H2/MatchesDB!$B$1</f>
        <v>1</v>
      </c>
      <c r="I3" s="24">
        <f>I2/MatchesDB!$B$1</f>
        <v>1</v>
      </c>
      <c r="J3" s="24">
        <f>J2/(MatchesDB!$B$1-4)</f>
        <v>4</v>
      </c>
      <c r="K3" s="24">
        <f>K2/MatchesDB!$B$1</f>
        <v>1</v>
      </c>
      <c r="L3" s="24">
        <f>L2/MatchesDB!$B$1</f>
        <v>1</v>
      </c>
      <c r="M3" s="6"/>
      <c r="N3" s="6"/>
      <c r="O3" s="6"/>
      <c r="P3" s="6"/>
      <c r="Q3" s="6"/>
      <c r="R3" s="6"/>
      <c r="S3" s="6"/>
      <c r="T3" s="6"/>
      <c r="U3" s="6"/>
      <c r="V3" s="6"/>
    </row>
    <row r="4" spans="1:22" x14ac:dyDescent="0.2">
      <c r="A4" s="29" t="s">
        <v>42</v>
      </c>
      <c r="B4" s="4" t="s">
        <v>12</v>
      </c>
      <c r="C4" s="25">
        <f t="array" ref="C4">SUM(IF(MID(INDEX(MatchesDB!$K$11:$Z40, 0, MATCH(C$1, MatchesDB!$K$10:$Z$10, 0)), 3, 1)="1", 1, 0))</f>
        <v>4</v>
      </c>
      <c r="D4" s="25">
        <f t="array" ref="D4">SUM(IF(MID(INDEX(MatchesDB!$K$11:$Z40, 0, MATCH(D$1, MatchesDB!$K$10:$Z$10, 0)), 3, 1)="1", 1, 0))</f>
        <v>5</v>
      </c>
      <c r="E4" s="25">
        <f t="array" ref="E4">SUM(IF(MID(INDEX(MatchesDB!$K$11:$Z40, 0, MATCH(E$1, MatchesDB!$K$10:$Z$10, 0)), 3, 1)="1", 1, 0))</f>
        <v>2</v>
      </c>
      <c r="F4" s="25">
        <f t="array" ref="F4">SUM(IF(MID(INDEX(MatchesDB!$K$11:$Z40, 0, MATCH(F$1, MatchesDB!$K$10:$Z$10, 0)), 3, 1)="1", 1, 0))</f>
        <v>4</v>
      </c>
      <c r="G4" s="25" t="e">
        <f t="array" ref="G4">SUM(IF(MID(INDEX(MatchesDB!$K$11:$Z40, 0, MATCH(G$1, MatchesDB!$K$10:$Z$10, 0)), 3, 1)="1", 1, 0))</f>
        <v>#N/A</v>
      </c>
      <c r="H4" s="25">
        <f t="array" ref="H4">SUM(IF(MID(INDEX(MatchesDB!$K$11:$Z40, 0, MATCH(H$1, MatchesDB!$K$10:$Z$10, 0)), 3, 1)="1", 1, 0))</f>
        <v>4</v>
      </c>
      <c r="I4" s="25">
        <f t="array" ref="I4">SUM(IF(MID(INDEX(MatchesDB!$K$11:$Z40, 0, MATCH(I$1, MatchesDB!$K$10:$Z$10, 0)), 3, 1)="1", 1, 0))</f>
        <v>5</v>
      </c>
      <c r="J4" s="25">
        <f t="array" ref="J4">SUM(IF(MID(INDEX(MatchesDB!$K$11:$Z40, 0, MATCH(J$1, MatchesDB!$K$10:$Z$10, 0)), 3, 1)="1", 1, 0))</f>
        <v>4</v>
      </c>
      <c r="K4" s="25">
        <f t="array" ref="K4">SUM(IF(MID(INDEX(MatchesDB!$K$11:$Z40, 0, MATCH(K$1, MatchesDB!$K$10:$Z$10, 0)), 3, 1)="1", 1, 0))</f>
        <v>4</v>
      </c>
      <c r="L4" s="25">
        <f t="array" ref="L4">SUM(IF(MID(INDEX(MatchesDB!$K$11:$Z40, 0, MATCH(L$1, MatchesDB!$K$10:$Z$10, 0)), 3, 1)="1", 1, 0))</f>
        <v>5</v>
      </c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2">
      <c r="A5" s="30"/>
      <c r="B5" s="4" t="s">
        <v>37</v>
      </c>
      <c r="C5" s="24">
        <f t="shared" ref="C5:L5" si="0">C4/C2</f>
        <v>0.8</v>
      </c>
      <c r="D5" s="24">
        <f t="shared" si="0"/>
        <v>1</v>
      </c>
      <c r="E5" s="24">
        <f t="shared" si="0"/>
        <v>0.4</v>
      </c>
      <c r="F5" s="24">
        <f t="shared" si="0"/>
        <v>0.8</v>
      </c>
      <c r="G5" s="24" t="e">
        <f t="shared" si="0"/>
        <v>#N/A</v>
      </c>
      <c r="H5" s="24">
        <f t="shared" si="0"/>
        <v>0.8</v>
      </c>
      <c r="I5" s="24">
        <f t="shared" si="0"/>
        <v>1</v>
      </c>
      <c r="J5" s="24">
        <f t="shared" si="0"/>
        <v>1</v>
      </c>
      <c r="K5" s="24">
        <f t="shared" si="0"/>
        <v>0.8</v>
      </c>
      <c r="L5" s="24">
        <f t="shared" si="0"/>
        <v>1</v>
      </c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2">
      <c r="A6" s="29" t="s">
        <v>53</v>
      </c>
      <c r="B6" s="4" t="s">
        <v>12</v>
      </c>
      <c r="C6" s="10">
        <f t="array" ref="C6">SUM(IFERROR(VALUE(MID(INDEX(MatchesDB!$K$11:$Z40, 0, MATCH(C$1, MatchesDB!$K$10:$Z$10, 0)), 5, 1)), 0))</f>
        <v>0</v>
      </c>
      <c r="D6" s="10">
        <f t="array" ref="D6">SUM(IFERROR(VALUE(MID(INDEX(MatchesDB!$K$11:$Z40, 0, MATCH(D$1, MatchesDB!$K$10:$Z$10, 0)), 5, 1)), 0))</f>
        <v>5</v>
      </c>
      <c r="E6" s="10">
        <f t="array" ref="E6">SUM(IFERROR(VALUE(MID(INDEX(MatchesDB!$K$11:$Z40, 0, MATCH(E$1, MatchesDB!$K$10:$Z$10, 0)), 5, 1)), 0))</f>
        <v>2</v>
      </c>
      <c r="F6" s="10">
        <f t="array" ref="F6">SUM(IFERROR(VALUE(MID(INDEX(MatchesDB!$K$11:$Z40, 0, MATCH(F$1, MatchesDB!$K$10:$Z$10, 0)), 5, 1)), 0))</f>
        <v>1</v>
      </c>
      <c r="G6" s="10">
        <f t="array" ref="G6">SUM(IFERROR(VALUE(MID(INDEX(MatchesDB!$K$11:$Z40, 0, MATCH(G$1, MatchesDB!$K$10:$Z$10, 0)), 5, 1)), 0))</f>
        <v>0</v>
      </c>
      <c r="H6" s="10">
        <f t="array" ref="H6">SUM(IFERROR(VALUE(MID(INDEX(MatchesDB!$K$11:$Z40, 0, MATCH(H$1, MatchesDB!$K$10:$Z$10, 0)), 5, 1)), 0))</f>
        <v>11</v>
      </c>
      <c r="I6" s="10">
        <f t="array" ref="I6">SUM(IFERROR(VALUE(MID(INDEX(MatchesDB!$K$11:$Z40, 0, MATCH(I$1, MatchesDB!$K$10:$Z$10, 0)), 5, 1)), 0))</f>
        <v>1</v>
      </c>
      <c r="J6" s="10">
        <f t="array" ref="J6">SUM(IFERROR(VALUE(MID(INDEX(MatchesDB!$K$11:$Z40, 0, MATCH(J$1, MatchesDB!$K$10:$Z$10, 0)), 5, 1)), 0))</f>
        <v>0</v>
      </c>
      <c r="K6" s="10">
        <f t="array" ref="K6">SUM(IFERROR(VALUE(MID(INDEX(MatchesDB!$K$11:$Z40, 0, MATCH(K$1, MatchesDB!$K$10:$Z$10, 0)), 5, 1)), 0))</f>
        <v>4</v>
      </c>
      <c r="L6" s="10">
        <f t="array" ref="L6">SUM(IFERROR(VALUE(MID(INDEX(MatchesDB!$K$11:$Z40, 0, MATCH(L$1, MatchesDB!$K$10:$Z$10, 0)), 5, 1)), 0))</f>
        <v>2</v>
      </c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2">
      <c r="A7" s="30"/>
      <c r="B7" s="4" t="s">
        <v>56</v>
      </c>
      <c r="C7" s="27">
        <f t="shared" ref="C7:L7" si="1">C6/C2</f>
        <v>0</v>
      </c>
      <c r="D7" s="27">
        <f t="shared" si="1"/>
        <v>1</v>
      </c>
      <c r="E7" s="27">
        <f t="shared" si="1"/>
        <v>0.4</v>
      </c>
      <c r="F7" s="27">
        <f t="shared" si="1"/>
        <v>0.2</v>
      </c>
      <c r="G7" s="27" t="e">
        <f t="shared" si="1"/>
        <v>#N/A</v>
      </c>
      <c r="H7" s="27">
        <f t="shared" si="1"/>
        <v>2.2000000000000002</v>
      </c>
      <c r="I7" s="27">
        <f t="shared" si="1"/>
        <v>0.2</v>
      </c>
      <c r="J7" s="27">
        <f t="shared" si="1"/>
        <v>0</v>
      </c>
      <c r="K7" s="27">
        <f t="shared" si="1"/>
        <v>0.8</v>
      </c>
      <c r="L7" s="27">
        <f t="shared" si="1"/>
        <v>0.4</v>
      </c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2">
      <c r="A8" s="29" t="s">
        <v>57</v>
      </c>
      <c r="B8" s="4" t="s">
        <v>12</v>
      </c>
      <c r="C8" s="25">
        <f t="array" ref="C8">SUM(IFERROR(VALUE(MID(INDEX(MatchesDB!$K$11:$Z40, 0, MATCH(C$1, MatchesDB!$K$10:$Z$10, 0)), 7, 1)), 0))</f>
        <v>4</v>
      </c>
      <c r="D8" s="25">
        <f t="array" ref="D8">SUM(IFERROR(VALUE(MID(INDEX(MatchesDB!$K$11:$Z40, 0, MATCH(D$1, MatchesDB!$K$10:$Z$10, 0)), 7, 1)), 0))</f>
        <v>5</v>
      </c>
      <c r="E8" s="25">
        <f t="array" ref="E8">SUM(IFERROR(VALUE(MID(INDEX(MatchesDB!$K$11:$Z40, 0, MATCH(E$1, MatchesDB!$K$10:$Z$10, 0)), 7, 1)), 0))</f>
        <v>1</v>
      </c>
      <c r="F8" s="25">
        <f t="array" ref="F8">SUM(IFERROR(VALUE(MID(INDEX(MatchesDB!$K$11:$Z40, 0, MATCH(F$1, MatchesDB!$K$10:$Z$10, 0)), 7, 1)), 0))</f>
        <v>1</v>
      </c>
      <c r="G8" s="25">
        <f t="array" ref="G8">SUM(IFERROR(VALUE(MID(INDEX(MatchesDB!$K$11:$Z40, 0, MATCH(G$1, MatchesDB!$K$10:$Z$10, 0)), 7, 1)), 0))</f>
        <v>0</v>
      </c>
      <c r="H8" s="25">
        <f t="array" ref="H8">SUM(IFERROR(VALUE(MID(INDEX(MatchesDB!$K$11:$Z40, 0, MATCH(H$1, MatchesDB!$K$10:$Z$10, 0)), 7, 1)), 0))</f>
        <v>1</v>
      </c>
      <c r="I8" s="25">
        <f t="array" ref="I8">SUM(IFERROR(VALUE(MID(INDEX(MatchesDB!$K$11:$Z40, 0, MATCH(I$1, MatchesDB!$K$10:$Z$10, 0)), 7, 1)), 0))</f>
        <v>0</v>
      </c>
      <c r="J8" s="25">
        <f t="array" ref="J8">SUM(IFERROR(VALUE(MID(INDEX(MatchesDB!$K$11:$Z40, 0, MATCH(J$1, MatchesDB!$K$10:$Z$10, 0)), 7, 1)), 0))</f>
        <v>0</v>
      </c>
      <c r="K8" s="25">
        <f t="array" ref="K8">SUM(IFERROR(VALUE(MID(INDEX(MatchesDB!$K$11:$Z40, 0, MATCH(K$1, MatchesDB!$K$10:$Z$10, 0)), 7, 1)), 0))</f>
        <v>2</v>
      </c>
      <c r="L8" s="25">
        <f t="array" ref="L8">SUM(IFERROR(VALUE(MID(INDEX(MatchesDB!$K$11:$Z40, 0, MATCH(L$1, MatchesDB!$K$10:$Z$10, 0)), 7, 1)), 0))</f>
        <v>1</v>
      </c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2">
      <c r="A9" s="30"/>
      <c r="B9" s="4" t="s">
        <v>56</v>
      </c>
      <c r="C9" s="27">
        <f t="shared" ref="C9:L9" si="2">C8/C2</f>
        <v>0.8</v>
      </c>
      <c r="D9" s="27">
        <f t="shared" si="2"/>
        <v>1</v>
      </c>
      <c r="E9" s="27">
        <f t="shared" si="2"/>
        <v>0.2</v>
      </c>
      <c r="F9" s="27">
        <f t="shared" si="2"/>
        <v>0.2</v>
      </c>
      <c r="G9" s="27" t="e">
        <f t="shared" si="2"/>
        <v>#N/A</v>
      </c>
      <c r="H9" s="27">
        <f t="shared" si="2"/>
        <v>0.2</v>
      </c>
      <c r="I9" s="27">
        <f t="shared" si="2"/>
        <v>0</v>
      </c>
      <c r="J9" s="27">
        <f t="shared" si="2"/>
        <v>0</v>
      </c>
      <c r="K9" s="27">
        <f t="shared" si="2"/>
        <v>0.4</v>
      </c>
      <c r="L9" s="27">
        <f t="shared" si="2"/>
        <v>0.2</v>
      </c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2">
      <c r="A10" s="29" t="s">
        <v>58</v>
      </c>
      <c r="B10" s="4" t="s">
        <v>12</v>
      </c>
      <c r="C10" s="10">
        <f t="shared" ref="C10:L10" si="3">C6+C8</f>
        <v>4</v>
      </c>
      <c r="D10" s="10">
        <f t="shared" si="3"/>
        <v>10</v>
      </c>
      <c r="E10" s="10">
        <f t="shared" si="3"/>
        <v>3</v>
      </c>
      <c r="F10" s="10">
        <f t="shared" si="3"/>
        <v>2</v>
      </c>
      <c r="G10" s="10">
        <f t="shared" si="3"/>
        <v>0</v>
      </c>
      <c r="H10" s="10">
        <f t="shared" si="3"/>
        <v>12</v>
      </c>
      <c r="I10" s="10">
        <f t="shared" si="3"/>
        <v>1</v>
      </c>
      <c r="J10" s="10">
        <f t="shared" si="3"/>
        <v>0</v>
      </c>
      <c r="K10" s="10">
        <f t="shared" si="3"/>
        <v>6</v>
      </c>
      <c r="L10" s="10">
        <f t="shared" si="3"/>
        <v>3</v>
      </c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2">
      <c r="A11" s="30"/>
      <c r="B11" s="4" t="s">
        <v>56</v>
      </c>
      <c r="C11" s="27">
        <f t="shared" ref="C11:L11" si="4">C10/C2</f>
        <v>0.8</v>
      </c>
      <c r="D11" s="27">
        <f t="shared" si="4"/>
        <v>2</v>
      </c>
      <c r="E11" s="27">
        <f t="shared" si="4"/>
        <v>0.6</v>
      </c>
      <c r="F11" s="27">
        <f t="shared" si="4"/>
        <v>0.4</v>
      </c>
      <c r="G11" s="27" t="e">
        <f t="shared" si="4"/>
        <v>#N/A</v>
      </c>
      <c r="H11" s="27">
        <f t="shared" si="4"/>
        <v>2.4</v>
      </c>
      <c r="I11" s="27">
        <f t="shared" si="4"/>
        <v>0.2</v>
      </c>
      <c r="J11" s="27">
        <f t="shared" si="4"/>
        <v>0</v>
      </c>
      <c r="K11" s="27">
        <f t="shared" si="4"/>
        <v>1.2</v>
      </c>
      <c r="L11" s="27">
        <f t="shared" si="4"/>
        <v>0.6</v>
      </c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2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2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2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2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2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2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2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2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2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2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2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2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2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2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2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2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2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2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2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2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2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2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2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2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2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2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2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2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2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2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2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</sheetData>
  <mergeCells count="5">
    <mergeCell ref="A2:A3"/>
    <mergeCell ref="A4:A5"/>
    <mergeCell ref="A6:A7"/>
    <mergeCell ref="A8:A9"/>
    <mergeCell ref="A10:A1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8f6f869-1ed0-46b3-a227-1d3e52347e28}" enabled="1" method="Standard" siteId="{98e9ba89-e1a1-4e38-9007-8bdabc25de1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MatchesDB</vt:lpstr>
      <vt:lpstr>Individual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Yuval Asif</cp:lastModifiedBy>
  <dcterms:modified xsi:type="dcterms:W3CDTF">2026-09-12T11:36:27Z</dcterms:modified>
</cp:coreProperties>
</file>