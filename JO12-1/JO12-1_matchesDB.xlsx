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<sst xmlns="http://schemas.openxmlformats.org/spreadsheetml/2006/main" count="227" uniqueCount="97">
  <si>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</si>
  <si>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</si>
  <si>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</si>
  <si>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</si>
  <si>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</si>
  <si>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</si>
  <si>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</si>
  <si>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</si>
  <si>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</si>
  <si>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</si>
  <si>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</si>
  <si>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</si>
  <si>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</si>
  <si>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</si>
  <si>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</si>
  <si>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</si>
  <si>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</si>
  <si>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</si>
  <si>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</si>
  <si>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</si>
  <si>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</si>
  <si>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</si>
  <si>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</si>
  <si>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</si>
  <si>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</si>
  <si>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</si>
  <si>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</si>
  <si>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</si>
  <si>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</si>
  <si>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</si>
  <si>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</si>
  <si>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</si>
  <si>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</si>
  <si>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</si>
  <si>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</si>
  <si>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</si>
  <si>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</si>
  <si>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</si>
  <si>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</si>
  <si>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</si>
  <si>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</si>
  <si>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</si>
  <si>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</si>
  <si>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</si>
  <si>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</si>
  <si>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</si>
  <si>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</si>
  <si>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</si>
  <si>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</si>
  <si>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%</t>
  </si>
  <si>
    <t>1st lineup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</si>
  <si>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</si>
  <si>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</si>
  <si>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</si>
  <si>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</si>
  <si>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</si>
  <si>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</si>
  <si>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</si>
  <si>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</si>
  <si>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</si>
  <si>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</si>
  <si>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</si>
  <si>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</si>
  <si>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</si>
  <si>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</si>
  <si>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</si>
  <si>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</si>
  <si>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</si>
  <si>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</si>
  <si>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</si>
  <si>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</si>
  <si>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</si>
  <si>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</si>
  <si>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1,1,0,3</t>
  </si>
  <si>
    <t>1,1,2,3</t>
  </si>
  <si>
    <t>1,0,2,1</t>
  </si>
  <si>
    <t>1,1,6,1</t>
  </si>
  <si>
    <t>HK-A3</t>
  </si>
  <si>
    <t>WV-HEDW O12-1</t>
  </si>
  <si>
    <t>Sportpark Middenmeer, Amsterdam</t>
  </si>
  <si>
    <t>DSS O12-2JM</t>
  </si>
  <si>
    <t>NVC O12-1</t>
  </si>
  <si>
    <t>Sportpark Naarden, Naarden</t>
  </si>
  <si>
    <t>Scorers</t>
  </si>
  <si>
    <t>FC Weesp O12-1</t>
  </si>
  <si>
    <t>Abcoude FC O12-1</t>
  </si>
  <si>
    <t>Ruwelspad 1 Abcoude</t>
  </si>
  <si>
    <t>Ouderkerk sv. O12-1</t>
  </si>
  <si>
    <t>Diemen sv. O12-2</t>
  </si>
  <si>
    <t>Sportlaan 13 Diemen</t>
  </si>
  <si>
    <t>Average</t>
  </si>
  <si>
    <t>Assists</t>
  </si>
  <si>
    <t>Goal contribution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</si>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</sst>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Border="1" applyFill="1" applyFont="1"/>
    <xf borderId="3" fillId="0" fontId="1" numFmtId="0" xfId="0" applyBorder="1" applyFont="1"/>
    <xf borderId="1" fillId="3" fontId="2" numFmtId="0" xfId="0" applyAlignment="1" applyBorder="1" applyFill="1" applyFont="1">
      <alignment horizontal="center"/>
    </xf>
    <xf borderId="0" fillId="0" fontId="1" numFmtId="0" xfId="0" applyFont="1"/>
    <xf borderId="4" fillId="3" fontId="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2" numFmtId="0" xfId="0" applyBorder="1" applyFill="1" applyFont="1"/>
    <xf borderId="7" fillId="2" fontId="3" numFmtId="0" xfId="0" applyAlignment="1" applyBorder="1" applyFill="1" applyFont="1">
      <alignment horizontal="right"/>
    </xf>
    <xf borderId="0" fillId="0" fontId="1" numFmtId="0" xfId="0" applyAlignment="1" applyFont="1">
      <alignment readingOrder="0"/>
    </xf>
    <xf borderId="8" fillId="2" fontId="2" numFmtId="0" xfId="0" applyBorder="1" applyFill="1" applyFont="1"/>
    <xf borderId="9" fillId="2" fontId="3" numFmtId="0" xfId="0" applyAlignment="1" applyBorder="1" applyFill="1" applyFont="1">
      <alignment horizontal="right"/>
    </xf>
    <xf borderId="1" fillId="0" fontId="1" numFmtId="0" xfId="0" applyAlignment="1" applyBorder="1" applyFont="1">
      <alignment horizontal="right" shrinkToFit="0" wrapText="1"/>
    </xf>
    <xf borderId="0" fillId="0" fontId="1" numFmtId="10" xfId="0" applyFont="1" applyNumberFormat="1"/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" xfId="0" applyAlignment="1" applyBorder="1" applyFont="1" applyNumberFormat="1">
      <alignment horizontal="center"/>
    </xf>
    <xf borderId="1" fillId="0" fontId="2" numFmtId="20" xfId="0" applyAlignment="1" applyBorder="1" applyFont="1" applyNumberFormat="1">
      <alignment horizontal="center"/>
    </xf>
    <xf borderId="1" fillId="0" fontId="7" numFmtId="0" xfId="0" applyBorder="1" applyFont="1"/>
    <xf borderId="1" fillId="5" fontId="3" numFmtId="0" xfId="0" applyAlignment="1" applyBorder="1" applyFill="1" applyFont="1">
      <alignment horizontal="center"/>
    </xf>
    <xf borderId="10" fillId="0" fontId="8" numFmtId="0" xfId="0" applyBorder="1" applyFont="1"/>
    <xf borderId="1" fillId="0" fontId="1" numFmtId="9" xfId="0" applyAlignment="1" applyBorder="1" applyFont="1" applyNumberFormat="1">
      <alignment horizontal="right"/>
    </xf>
    <xf borderId="1" fillId="0" fontId="3" numFmtId="0" xfId="0" applyAlignment="1" applyBorder="1" applyFont="1">
      <alignment horizontal="center"/>
    </xf>
    <xf borderId="1" fillId="0" fontId="1" numFmtId="0" xfId="0" applyAlignment="1" applyBorder="1" applyFont="1">
      <alignment horizontal="right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0" fontId="1" numFmtId="164" xfId="0" applyAlignment="1" applyBorder="1" applyFont="1" applyNumberFormat="1">
      <alignment horizontal="right"/>
    </xf>
    <xf borderId="1" fillId="4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2" t="s">
        <v>0</v>
      </c>
      <c r="B1" s="7">
        <f>SUM(COUNTIF(J11:J40,"W"),COUNTIF(J11:J40,"D"),COUNTIF(J11:J40,"L"))</f>
        <v>8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52</v>
      </c>
      <c r="C6" s="5"/>
      <c r="D6" s="11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70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2" t="s">
        <v>18</v>
      </c>
      <c r="B8" s="13">
        <f>SUM(L11:L40)</f>
        <v>18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5"/>
      <c r="O9" s="15"/>
      <c r="P9" s="15"/>
      <c r="Q9" s="5"/>
      <c r="R9" s="5"/>
      <c r="S9" s="5"/>
      <c r="T9" s="5"/>
      <c r="U9" s="5"/>
      <c r="V9" s="5"/>
      <c r="W9" s="15"/>
      <c r="X9" s="5"/>
      <c r="Y9" s="5"/>
      <c r="Z9" s="5"/>
      <c r="AA9" s="5"/>
      <c r="AB9" s="5"/>
      <c r="AC9" s="5"/>
      <c r="AD9" s="5"/>
    </row>
    <row r="10">
      <c r="A10" s="16" t="s">
        <v>19</v>
      </c>
      <c r="B10" s="16" t="s">
        <v>20</v>
      </c>
      <c r="C10" s="16" t="s">
        <v>21</v>
      </c>
      <c r="D10" s="17" t="s">
        <v>22</v>
      </c>
      <c r="E10" s="17" t="s">
        <v>23</v>
      </c>
      <c r="F10" s="16" t="s">
        <v>24</v>
      </c>
      <c r="G10" s="17" t="s">
        <v>25</v>
      </c>
      <c r="H10" s="16" t="s">
        <v>26</v>
      </c>
      <c r="I10" s="17" t="s">
        <v>27</v>
      </c>
      <c r="J10" s="16" t="s">
        <v>28</v>
      </c>
      <c r="K10" s="17" t="s">
        <v>17</v>
      </c>
      <c r="L10" s="17" t="s">
        <v>29</v>
      </c>
      <c r="M10" s="17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8" t="s">
        <v>31</v>
      </c>
      <c r="X10" s="4" t="s">
        <v>32</v>
      </c>
      <c r="Y10" s="19" t="s">
        <v>33</v>
      </c>
      <c r="AD10" s="5"/>
    </row>
    <row r="11">
      <c r="A11" s="20">
        <f>IF(ISBLANK(B11),"",1)</f>
        <v>1</v>
      </c>
      <c r="B11" s="21">
        <v>1.0</v>
      </c>
      <c r="C11" s="1" t="s">
        <v>34</v>
      </c>
      <c r="D11" s="22">
        <v>46256.0</v>
      </c>
      <c r="E11" s="23">
        <v>0.5555555555555556</v>
      </c>
      <c r="F11" s="24" t="s">
        <v>35</v>
      </c>
      <c r="G11" s="21" t="s">
        <v>36</v>
      </c>
      <c r="H11" s="21" t="s">
        <v>34</v>
      </c>
      <c r="I11" s="21" t="s">
        <v>37</v>
      </c>
      <c r="J11" s="20" t="str">
        <f t="shared" ref="J11:J40" si="1">IF(AND(NOT(ISBLANK(K11)),NOT(ISBLANK(L11))),IF(K11&gt;L11,"W",IF(K11&lt;L11,"L","D")),"")</f>
        <v>L</v>
      </c>
      <c r="K11" s="25">
        <f t="array" ref="K11">IF(L11&lt;&gt;"", SUMPRODUCT(MID(N11:Y11,5,1)*1), "")</f>
        <v>1</v>
      </c>
      <c r="L11" s="21">
        <v>2.0</v>
      </c>
      <c r="M11" s="25">
        <f t="array" ref="M11">IF(L11&lt;&gt;"", SUMPRODUCT(LEFT(N11:Y11,1)*1), "")</f>
        <v>9</v>
      </c>
      <c r="N11" s="18" t="s">
        <v>38</v>
      </c>
      <c r="O11" s="18" t="s">
        <v>39</v>
      </c>
      <c r="P11" s="18" t="s">
        <v>38</v>
      </c>
      <c r="Q11" s="18" t="s">
        <v>39</v>
      </c>
      <c r="R11" s="18" t="s">
        <v>40</v>
      </c>
      <c r="S11" s="18" t="s">
        <v>39</v>
      </c>
      <c r="T11" s="18" t="s">
        <v>39</v>
      </c>
      <c r="U11" s="18" t="s">
        <v>39</v>
      </c>
      <c r="V11" s="18" t="s">
        <v>39</v>
      </c>
      <c r="W11" s="18" t="s">
        <v>41</v>
      </c>
      <c r="X11" s="18" t="s">
        <v>41</v>
      </c>
      <c r="Y11" s="18" t="s">
        <v>41</v>
      </c>
      <c r="AD11" s="5"/>
    </row>
    <row r="12">
      <c r="A12" s="20">
        <f t="shared" ref="A12:A18" si="2">IF(ISBLANK(B12),"",A11+1)</f>
        <v>2</v>
      </c>
      <c r="B12" s="21">
        <v>1.0</v>
      </c>
      <c r="C12" s="1" t="s">
        <v>34</v>
      </c>
      <c r="D12" s="22">
        <v>46256.0</v>
      </c>
      <c r="E12" s="23">
        <v>0.5972222222222222</v>
      </c>
      <c r="F12" s="24" t="s">
        <v>35</v>
      </c>
      <c r="G12" s="21" t="s">
        <v>42</v>
      </c>
      <c r="H12" s="21" t="s">
        <v>34</v>
      </c>
      <c r="I12" s="21" t="s">
        <v>37</v>
      </c>
      <c r="J12" s="20" t="str">
        <f t="shared" si="1"/>
        <v>L</v>
      </c>
      <c r="K12" s="25">
        <f t="array" ref="K12">IF(L12&lt;&gt;"", SUMPRODUCT(MID(N12:Y12,5,1)*1), "")</f>
        <v>0</v>
      </c>
      <c r="L12" s="21">
        <v>1.0</v>
      </c>
      <c r="M12" s="25">
        <f t="array" ref="M12">IF(L12&lt;&gt;"", SUMPRODUCT(LEFT(N12:Y12,1)*1), "")</f>
        <v>9</v>
      </c>
      <c r="N12" s="18" t="s">
        <v>39</v>
      </c>
      <c r="O12" s="18" t="s">
        <v>39</v>
      </c>
      <c r="P12" s="18" t="s">
        <v>39</v>
      </c>
      <c r="Q12" s="18" t="s">
        <v>38</v>
      </c>
      <c r="R12" s="18" t="s">
        <v>39</v>
      </c>
      <c r="S12" s="18" t="s">
        <v>39</v>
      </c>
      <c r="T12" s="18" t="s">
        <v>39</v>
      </c>
      <c r="U12" s="18" t="s">
        <v>38</v>
      </c>
      <c r="V12" s="18" t="s">
        <v>39</v>
      </c>
      <c r="W12" s="18" t="s">
        <v>41</v>
      </c>
      <c r="X12" s="18" t="s">
        <v>41</v>
      </c>
      <c r="Y12" s="18" t="s">
        <v>41</v>
      </c>
      <c r="AD12" s="5"/>
    </row>
    <row r="13">
      <c r="A13" s="20">
        <f t="shared" si="2"/>
        <v>3</v>
      </c>
      <c r="B13" s="21">
        <v>1.0</v>
      </c>
      <c r="C13" s="1" t="s">
        <v>34</v>
      </c>
      <c r="D13" s="22">
        <v>46256.0</v>
      </c>
      <c r="E13" s="23">
        <v>0.6388888888888888</v>
      </c>
      <c r="F13" s="24" t="s">
        <v>35</v>
      </c>
      <c r="G13" s="21" t="s">
        <v>43</v>
      </c>
      <c r="H13" s="21" t="s">
        <v>34</v>
      </c>
      <c r="I13" s="21" t="s">
        <v>37</v>
      </c>
      <c r="J13" s="20" t="str">
        <f t="shared" si="1"/>
        <v>L</v>
      </c>
      <c r="K13" s="25">
        <f t="array" ref="K13">IF(L13&lt;&gt;"", SUMPRODUCT(MID(N13:Y13,5,1)*1), "")</f>
        <v>1</v>
      </c>
      <c r="L13" s="21">
        <v>3.0</v>
      </c>
      <c r="M13" s="25">
        <f t="array" ref="M13">IF(L13&lt;&gt;"", SUMPRODUCT(LEFT(N13:Y13,1)*1), "")</f>
        <v>9</v>
      </c>
      <c r="N13" s="18" t="s">
        <v>39</v>
      </c>
      <c r="O13" s="18" t="s">
        <v>44</v>
      </c>
      <c r="P13" s="18" t="s">
        <v>39</v>
      </c>
      <c r="Q13" s="18" t="s">
        <v>39</v>
      </c>
      <c r="R13" s="18" t="s">
        <v>45</v>
      </c>
      <c r="S13" s="18" t="s">
        <v>39</v>
      </c>
      <c r="T13" s="18" t="s">
        <v>39</v>
      </c>
      <c r="U13" s="18" t="s">
        <v>39</v>
      </c>
      <c r="V13" s="18" t="s">
        <v>39</v>
      </c>
      <c r="W13" s="18" t="s">
        <v>41</v>
      </c>
      <c r="X13" s="18" t="s">
        <v>41</v>
      </c>
      <c r="Y13" s="18" t="s">
        <v>41</v>
      </c>
      <c r="AD13" s="5"/>
    </row>
    <row r="14">
      <c r="A14" s="20">
        <f t="shared" si="2"/>
        <v>4</v>
      </c>
      <c r="B14" s="21">
        <v>1.0</v>
      </c>
      <c r="C14" s="1" t="s">
        <v>46</v>
      </c>
      <c r="D14" s="22">
        <v>46270.0</v>
      </c>
      <c r="E14" s="23">
        <v>0.4166666666666667</v>
      </c>
      <c r="F14" s="21"/>
      <c r="G14" s="21" t="s">
        <v>47</v>
      </c>
      <c r="H14" s="21" t="s">
        <v>48</v>
      </c>
      <c r="I14" s="21" t="s">
        <v>37</v>
      </c>
      <c r="J14" s="20" t="str">
        <f t="shared" si="1"/>
        <v>W</v>
      </c>
      <c r="K14" s="25">
        <f t="array" ref="K14">IF(L14&lt;&gt;"", SUMPRODUCT(MID(N14:Y14,5,1)*1), "")</f>
        <v>12</v>
      </c>
      <c r="L14" s="28">
        <v>5.0</v>
      </c>
      <c r="M14" s="25">
        <f t="array" ref="M14">IF(L14&lt;&gt;"", SUMPRODUCT(LEFT(N14:Y14,1)*1), "")</f>
        <v>9</v>
      </c>
      <c r="N14" s="18" t="s">
        <v>39</v>
      </c>
      <c r="O14" s="18" t="s">
        <v>51</v>
      </c>
      <c r="P14" s="18" t="s">
        <v>52</v>
      </c>
      <c r="Q14" s="18" t="s">
        <v>39</v>
      </c>
      <c r="R14" s="18" t="s">
        <v>53</v>
      </c>
      <c r="S14" s="18" t="s">
        <v>40</v>
      </c>
      <c r="T14" s="18" t="s">
        <v>39</v>
      </c>
      <c r="U14" s="18" t="s">
        <v>54</v>
      </c>
      <c r="V14" s="18" t="s">
        <v>39</v>
      </c>
      <c r="W14" s="18" t="s">
        <v>41</v>
      </c>
      <c r="X14" s="18" t="s">
        <v>41</v>
      </c>
      <c r="Y14" s="18" t="s">
        <v>41</v>
      </c>
      <c r="AD14" s="5"/>
    </row>
    <row r="15">
      <c r="A15" s="20">
        <f t="shared" si="2"/>
        <v>5</v>
      </c>
      <c r="B15" s="21">
        <v>1.0</v>
      </c>
      <c r="C15" s="1" t="s">
        <v>46</v>
      </c>
      <c r="D15" s="22">
        <v>46277.0</v>
      </c>
      <c r="E15" s="23">
        <v>0.375</v>
      </c>
      <c r="F15" s="21"/>
      <c r="G15" s="21" t="s">
        <v>55</v>
      </c>
      <c r="H15" s="21"/>
      <c r="I15" s="21" t="s">
        <v>56</v>
      </c>
      <c r="J15" s="20" t="str">
        <f t="shared" si="1"/>
        <v>W</v>
      </c>
      <c r="K15" s="25">
        <f t="array" ref="K15">IF(L15&lt;&gt;"", SUMPRODUCT(MID(N15:Y15,5,1)*1), "")</f>
        <v>14</v>
      </c>
      <c r="L15" s="28">
        <v>3.0</v>
      </c>
      <c r="M15" s="25">
        <f t="array" ref="M15">IF(L15&lt;&gt;"", SUMPRODUCT(LEFT(N15:Y15,1)*1), "")</f>
        <v>9</v>
      </c>
      <c r="N15" s="18" t="s">
        <v>57</v>
      </c>
      <c r="O15" s="18" t="s">
        <v>58</v>
      </c>
      <c r="P15" s="18" t="s">
        <v>59</v>
      </c>
      <c r="Q15" s="18" t="s">
        <v>60</v>
      </c>
      <c r="R15" s="18" t="s">
        <v>40</v>
      </c>
      <c r="S15" s="18" t="s">
        <v>39</v>
      </c>
      <c r="T15" s="18" t="s">
        <v>41</v>
      </c>
      <c r="U15" s="18" t="s">
        <v>61</v>
      </c>
      <c r="V15" s="18" t="s">
        <v>62</v>
      </c>
      <c r="W15" s="18" t="s">
        <v>61</v>
      </c>
      <c r="X15" s="18" t="s">
        <v>41</v>
      </c>
      <c r="Y15" s="18" t="s">
        <v>41</v>
      </c>
      <c r="AD15" s="5"/>
    </row>
    <row r="16" ht="16.5" customHeight="1">
      <c r="A16" s="20">
        <f t="shared" si="2"/>
        <v>6</v>
      </c>
      <c r="B16" s="21">
        <v>1.0</v>
      </c>
      <c r="C16" s="1" t="s">
        <v>46</v>
      </c>
      <c r="D16" s="22">
        <v>46284.0</v>
      </c>
      <c r="E16" s="23">
        <v>0.4375</v>
      </c>
      <c r="F16" s="21"/>
      <c r="G16" s="21" t="s">
        <v>63</v>
      </c>
      <c r="H16" s="21" t="s">
        <v>64</v>
      </c>
      <c r="I16" s="21" t="s">
        <v>37</v>
      </c>
      <c r="J16" s="20" t="str">
        <f t="shared" si="1"/>
        <v>W</v>
      </c>
      <c r="K16" s="25">
        <f t="array" ref="K16">IF(L16&lt;&gt;"", SUMPRODUCT(MID(N16:Y16,5,1)*1), "")</f>
        <v>8</v>
      </c>
      <c r="L16" s="30">
        <v>1.0</v>
      </c>
      <c r="M16" s="25">
        <f t="array" ref="M16">IF(L16&lt;&gt;"", SUMPRODUCT(LEFT(N16:Y16,1)*1), "")</f>
        <v>10</v>
      </c>
      <c r="N16" s="18" t="s">
        <v>44</v>
      </c>
      <c r="O16" s="18" t="s">
        <v>62</v>
      </c>
      <c r="P16" s="18" t="s">
        <v>39</v>
      </c>
      <c r="Q16" s="18" t="s">
        <v>41</v>
      </c>
      <c r="R16" s="18" t="s">
        <v>65</v>
      </c>
      <c r="S16" s="18" t="s">
        <v>44</v>
      </c>
      <c r="T16" s="18" t="s">
        <v>39</v>
      </c>
      <c r="U16" s="18" t="s">
        <v>44</v>
      </c>
      <c r="V16" s="18" t="s">
        <v>60</v>
      </c>
      <c r="W16" s="18" t="s">
        <v>66</v>
      </c>
      <c r="X16" s="18" t="s">
        <v>67</v>
      </c>
      <c r="Y16" s="18" t="s">
        <v>41</v>
      </c>
      <c r="AD16" s="5"/>
    </row>
    <row r="17">
      <c r="A17" s="20">
        <f t="shared" si="2"/>
        <v>7</v>
      </c>
      <c r="B17" s="21">
        <v>1.0</v>
      </c>
      <c r="C17" s="1" t="s">
        <v>46</v>
      </c>
      <c r="D17" s="22">
        <v>46291.0</v>
      </c>
      <c r="E17" s="23">
        <v>0.375</v>
      </c>
      <c r="F17" s="21"/>
      <c r="G17" s="21" t="s">
        <v>68</v>
      </c>
      <c r="H17" s="21"/>
      <c r="I17" s="21" t="s">
        <v>56</v>
      </c>
      <c r="J17" s="20" t="str">
        <f t="shared" si="1"/>
        <v>W</v>
      </c>
      <c r="K17" s="25">
        <f t="array" ref="K17">IF(L17&lt;&gt;"", SUMPRODUCT(MID(N17:Y17,5,1)*1), "")</f>
        <v>15</v>
      </c>
      <c r="L17" s="30">
        <v>1.0</v>
      </c>
      <c r="M17" s="25">
        <f t="array" ref="M17">IF(L17&lt;&gt;"", SUMPRODUCT(LEFT(N17:Y17,1)*1), "")</f>
        <v>10</v>
      </c>
      <c r="N17" s="18" t="s">
        <v>45</v>
      </c>
      <c r="O17" s="18" t="s">
        <v>69</v>
      </c>
      <c r="P17" s="18" t="s">
        <v>61</v>
      </c>
      <c r="Q17" s="18" t="s">
        <v>44</v>
      </c>
      <c r="R17" s="18" t="s">
        <v>70</v>
      </c>
      <c r="S17" s="18" t="s">
        <v>62</v>
      </c>
      <c r="T17" s="18" t="s">
        <v>41</v>
      </c>
      <c r="U17" s="18" t="s">
        <v>60</v>
      </c>
      <c r="V17" s="18" t="s">
        <v>62</v>
      </c>
      <c r="W17" s="18" t="s">
        <v>71</v>
      </c>
      <c r="X17" s="18" t="s">
        <v>41</v>
      </c>
      <c r="Y17" s="18" t="s">
        <v>66</v>
      </c>
      <c r="AD17" s="5"/>
    </row>
    <row r="18">
      <c r="A18" s="20">
        <f t="shared" si="2"/>
        <v>8</v>
      </c>
      <c r="B18" s="21">
        <v>1.0</v>
      </c>
      <c r="C18" s="1" t="s">
        <v>46</v>
      </c>
      <c r="D18" s="22">
        <v>46298.0</v>
      </c>
      <c r="E18" s="23">
        <v>0.375</v>
      </c>
      <c r="F18" s="21"/>
      <c r="G18" s="21" t="s">
        <v>72</v>
      </c>
      <c r="H18" s="21"/>
      <c r="I18" s="21" t="s">
        <v>56</v>
      </c>
      <c r="J18" s="20" t="str">
        <f t="shared" si="1"/>
        <v>W</v>
      </c>
      <c r="K18" s="31">
        <v>19.0</v>
      </c>
      <c r="L18" s="30">
        <v>2.0</v>
      </c>
      <c r="M18" s="25">
        <f t="array" ref="M18">IF(L18&lt;&gt;"", SUMPRODUCT(LEFT(N18:Y18,1)*1), "")</f>
        <v>9</v>
      </c>
      <c r="N18" s="18" t="s">
        <v>73</v>
      </c>
      <c r="O18" s="18" t="s">
        <v>74</v>
      </c>
      <c r="P18" s="18" t="s">
        <v>75</v>
      </c>
      <c r="Q18" s="18" t="s">
        <v>40</v>
      </c>
      <c r="R18" s="18" t="s">
        <v>58</v>
      </c>
      <c r="S18" s="18" t="s">
        <v>40</v>
      </c>
      <c r="T18" s="18" t="s">
        <v>40</v>
      </c>
      <c r="U18" s="18" t="s">
        <v>76</v>
      </c>
      <c r="V18" s="18" t="s">
        <v>44</v>
      </c>
      <c r="W18" s="18" t="s">
        <v>41</v>
      </c>
      <c r="X18" s="18" t="s">
        <v>41</v>
      </c>
      <c r="Y18" s="18" t="s">
        <v>41</v>
      </c>
      <c r="AD18" s="5"/>
    </row>
    <row r="19">
      <c r="A19" s="20">
        <v>9.0</v>
      </c>
      <c r="B19" s="21">
        <v>2.0</v>
      </c>
      <c r="C19" s="1" t="s">
        <v>77</v>
      </c>
      <c r="D19" s="22">
        <v>46319.0</v>
      </c>
      <c r="E19" s="23">
        <v>0.3541666666666667</v>
      </c>
      <c r="F19" s="21"/>
      <c r="G19" s="30" t="s">
        <v>78</v>
      </c>
      <c r="H19" s="30" t="s">
        <v>79</v>
      </c>
      <c r="I19" s="30" t="s">
        <v>37</v>
      </c>
      <c r="J19" s="20" t="str">
        <f t="shared" si="1"/>
        <v/>
      </c>
      <c r="K19" s="31" t="str">
        <f t="array" ref="K19">IF(L19&lt;&gt;"", SUMPRODUCT(MID(N19:Y19,5,1)*1), "")</f>
        <v/>
      </c>
      <c r="L19" s="30"/>
      <c r="M19" s="25" t="str">
        <f t="array" ref="M19">IF(L19&lt;&gt;"", SUMPRODUCT(LEFT(N19:Y19,1)*1), "")</f>
        <v/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AD19" s="5"/>
    </row>
    <row r="20">
      <c r="A20" s="20">
        <v>10.0</v>
      </c>
      <c r="B20" s="21">
        <v>2.0</v>
      </c>
      <c r="C20" s="1" t="s">
        <v>77</v>
      </c>
      <c r="D20" s="22">
        <v>46326.0</v>
      </c>
      <c r="E20" s="23">
        <v>0.375</v>
      </c>
      <c r="F20" s="21"/>
      <c r="G20" s="30" t="s">
        <v>80</v>
      </c>
      <c r="H20" s="21"/>
      <c r="I20" s="21" t="s">
        <v>56</v>
      </c>
      <c r="J20" s="20" t="str">
        <f t="shared" si="1"/>
        <v/>
      </c>
      <c r="K20" s="31" t="str">
        <f t="array" ref="K20">IF(L20&lt;&gt;"", SUMPRODUCT(MID(N20:Y20,5,1)*1), "")</f>
        <v/>
      </c>
      <c r="L20" s="30"/>
      <c r="M20" s="25" t="str">
        <f t="array" ref="M20">IF(L20&lt;&gt;"", SUMPRODUCT(LEFT(N20:Y20,1)*1), "")</f>
        <v/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AD20" s="5"/>
    </row>
    <row r="21">
      <c r="A21" s="20">
        <v>11.0</v>
      </c>
      <c r="B21" s="21">
        <v>2.0</v>
      </c>
      <c r="C21" s="1" t="s">
        <v>77</v>
      </c>
      <c r="D21" s="22">
        <v>46333.0</v>
      </c>
      <c r="E21" s="23">
        <v>0.4895833333333333</v>
      </c>
      <c r="F21" s="21"/>
      <c r="G21" s="30" t="s">
        <v>81</v>
      </c>
      <c r="H21" s="30" t="s">
        <v>82</v>
      </c>
      <c r="I21" s="30" t="s">
        <v>37</v>
      </c>
      <c r="J21" s="20" t="str">
        <f t="shared" si="1"/>
        <v/>
      </c>
      <c r="K21" s="31" t="str">
        <f t="array" ref="K21">IF(L21&lt;&gt;"", SUMPRODUCT(MID(N21:Y21,5,1)*1), "")</f>
        <v/>
      </c>
      <c r="L21" s="30"/>
      <c r="M21" s="25" t="str">
        <f t="array" ref="M21">IF(L21&lt;&gt;"", SUMPRODUCT(LEFT(N21:Y21,1)*1), "")</f>
        <v/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AD21" s="5"/>
    </row>
    <row r="22">
      <c r="A22" s="20">
        <v>12.0</v>
      </c>
      <c r="B22" s="21">
        <v>2.0</v>
      </c>
      <c r="C22" s="1" t="s">
        <v>77</v>
      </c>
      <c r="D22" s="22">
        <v>46340.0</v>
      </c>
      <c r="E22" s="23">
        <v>0.375</v>
      </c>
      <c r="F22" s="21"/>
      <c r="G22" s="30" t="s">
        <v>84</v>
      </c>
      <c r="H22" s="21"/>
      <c r="I22" s="21" t="s">
        <v>56</v>
      </c>
      <c r="J22" s="20" t="str">
        <f t="shared" si="1"/>
        <v/>
      </c>
      <c r="K22" s="31" t="str">
        <f t="array" ref="K22">IF(L22&lt;&gt;"", SUMPRODUCT(MID(N22:Y22,5,1)*1), "")</f>
        <v/>
      </c>
      <c r="L22" s="30"/>
      <c r="M22" s="25" t="str">
        <f t="array" ref="M22">IF(L22&lt;&gt;"", SUMPRODUCT(LEFT(N22:Y22,1)*1), "")</f>
        <v/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AD22" s="5"/>
    </row>
    <row r="23">
      <c r="A23" s="20">
        <v>13.0</v>
      </c>
      <c r="B23" s="21">
        <v>2.0</v>
      </c>
      <c r="C23" s="1" t="s">
        <v>77</v>
      </c>
      <c r="D23" s="22">
        <v>46347.0</v>
      </c>
      <c r="E23" s="23">
        <v>0.46875</v>
      </c>
      <c r="F23" s="21"/>
      <c r="G23" s="30" t="s">
        <v>85</v>
      </c>
      <c r="H23" s="30" t="s">
        <v>86</v>
      </c>
      <c r="I23" s="30" t="s">
        <v>37</v>
      </c>
      <c r="J23" s="20" t="str">
        <f t="shared" si="1"/>
        <v/>
      </c>
      <c r="K23" s="31" t="str">
        <f t="array" ref="K23">IF(L23&lt;&gt;"", SUMPRODUCT(MID(N23:Y23,5,1)*1), "")</f>
        <v/>
      </c>
      <c r="L23" s="30"/>
      <c r="M23" s="25" t="str">
        <f t="array" ref="M23">IF(L23&lt;&gt;"", SUMPRODUCT(LEFT(N23:Y23,1)*1), "")</f>
        <v/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AD23" s="5"/>
    </row>
    <row r="24">
      <c r="A24" s="20">
        <v>14.0</v>
      </c>
      <c r="B24" s="21">
        <v>2.0</v>
      </c>
      <c r="C24" s="1" t="s">
        <v>77</v>
      </c>
      <c r="D24" s="22">
        <v>46354.0</v>
      </c>
      <c r="E24" s="23">
        <v>0.375</v>
      </c>
      <c r="F24" s="21"/>
      <c r="G24" s="30" t="s">
        <v>87</v>
      </c>
      <c r="H24" s="21"/>
      <c r="I24" s="21" t="s">
        <v>56</v>
      </c>
      <c r="J24" s="20" t="str">
        <f t="shared" si="1"/>
        <v/>
      </c>
      <c r="K24" s="31" t="str">
        <f t="array" ref="K24">IF(L24&lt;&gt;"", SUMPRODUCT(MID(N24:Y24,5,1)*1), "")</f>
        <v/>
      </c>
      <c r="L24" s="30"/>
      <c r="M24" s="25" t="str">
        <f t="array" ref="M24">IF(L24&lt;&gt;"", SUMPRODUCT(LEFT(N24:Y24,1)*1), "")</f>
        <v/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AD24" s="5"/>
    </row>
    <row r="25">
      <c r="A25" s="20">
        <v>15.0</v>
      </c>
      <c r="B25" s="21">
        <v>2.0</v>
      </c>
      <c r="C25" s="1" t="s">
        <v>77</v>
      </c>
      <c r="D25" s="22">
        <v>46361.0</v>
      </c>
      <c r="E25" s="23">
        <v>0.40625</v>
      </c>
      <c r="F25" s="21"/>
      <c r="G25" s="30" t="s">
        <v>88</v>
      </c>
      <c r="H25" s="30" t="s">
        <v>89</v>
      </c>
      <c r="I25" s="30" t="s">
        <v>37</v>
      </c>
      <c r="J25" s="20" t="str">
        <f t="shared" si="1"/>
        <v/>
      </c>
      <c r="K25" s="31" t="str">
        <f t="array" ref="K25">IF(L25&lt;&gt;"", SUMPRODUCT(MID(N25:Y25,5,1)*1), "")</f>
        <v/>
      </c>
      <c r="L25" s="30"/>
      <c r="M25" s="25" t="str">
        <f t="array" ref="M25">IF(L25&lt;&gt;"", SUMPRODUCT(LEFT(N25:Y25,1)*1), "")</f>
        <v/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AD25" s="5"/>
    </row>
    <row r="26">
      <c r="A26" s="20" t="str">
        <f t="shared" ref="A26:A40" si="3">IF(ISBLANK(B26),"",A25+1)</f>
        <v/>
      </c>
      <c r="B26" s="1"/>
      <c r="C26" s="1"/>
      <c r="D26" s="1"/>
      <c r="E26" s="1"/>
      <c r="F26" s="1"/>
      <c r="G26" s="1"/>
      <c r="H26" s="1"/>
      <c r="I26" s="1"/>
      <c r="J26" s="20" t="str">
        <f t="shared" si="1"/>
        <v/>
      </c>
      <c r="K26" s="25" t="str">
        <f t="array" ref="K26">IF(L26&lt;&gt;"", SUMPRODUCT(MID(N26:Y26,5,1)*1), "")</f>
        <v/>
      </c>
      <c r="L26" s="28"/>
      <c r="M26" s="25" t="str">
        <f t="array" ref="M26">IF(L26&lt;&gt;"", SUMPRODUCT(LEFT(N26:Y26,1)*1), "")</f>
        <v/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AD26" s="5"/>
    </row>
    <row r="27">
      <c r="A27" s="20" t="str">
        <f t="shared" si="3"/>
        <v/>
      </c>
      <c r="B27" s="1"/>
      <c r="C27" s="1"/>
      <c r="D27" s="1"/>
      <c r="E27" s="1"/>
      <c r="F27" s="1"/>
      <c r="G27" s="1"/>
      <c r="H27" s="1"/>
      <c r="I27" s="1"/>
      <c r="J27" s="20" t="str">
        <f t="shared" si="1"/>
        <v/>
      </c>
      <c r="K27" s="25" t="str">
        <f t="array" ref="K27">IF(L27&lt;&gt;"", SUMPRODUCT(MID(N27:Y27,5,1)*1), "")</f>
        <v/>
      </c>
      <c r="L27" s="21"/>
      <c r="M27" s="25" t="str">
        <f t="array" ref="M27">IF(L27&lt;&gt;"", SUMPRODUCT(LEFT(N27:Y27,1)*1), "")</f>
        <v/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AD27" s="5"/>
    </row>
    <row r="28">
      <c r="A28" s="20" t="str">
        <f t="shared" si="3"/>
        <v/>
      </c>
      <c r="B28" s="1"/>
      <c r="C28" s="1"/>
      <c r="D28" s="1"/>
      <c r="E28" s="1"/>
      <c r="F28" s="1"/>
      <c r="G28" s="1"/>
      <c r="H28" s="1"/>
      <c r="I28" s="1"/>
      <c r="J28" s="20" t="str">
        <f t="shared" si="1"/>
        <v/>
      </c>
      <c r="K28" s="25" t="str">
        <f t="array" ref="K28">IF(L28&lt;&gt;"", SUMPRODUCT(MID(N28:Y28,5,1)*1), "")</f>
        <v/>
      </c>
      <c r="L28" s="21"/>
      <c r="M28" s="25" t="str">
        <f t="array" ref="M28">IF(L28&lt;&gt;"", SUMPRODUCT(LEFT(N28:Y28,1)*1), "")</f>
        <v/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AD28" s="5"/>
    </row>
    <row r="29">
      <c r="A29" s="20" t="str">
        <f t="shared" si="3"/>
        <v/>
      </c>
      <c r="B29" s="1"/>
      <c r="C29" s="1"/>
      <c r="D29" s="1"/>
      <c r="E29" s="1"/>
      <c r="F29" s="1"/>
      <c r="G29" s="1"/>
      <c r="H29" s="1"/>
      <c r="I29" s="1"/>
      <c r="J29" s="20" t="str">
        <f t="shared" si="1"/>
        <v/>
      </c>
      <c r="K29" s="25" t="str">
        <f t="array" ref="K29">IF(L29&lt;&gt;"", SUMPRODUCT(MID(N29:Y29,5,1)*1), "")</f>
        <v/>
      </c>
      <c r="L29" s="21"/>
      <c r="M29" s="25" t="str">
        <f t="array" ref="M29">IF(L29&lt;&gt;"", SUMPRODUCT(LEFT(N29:Y29,1)*1), "")</f>
        <v/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AD29" s="5"/>
    </row>
    <row r="30">
      <c r="A30" s="20" t="str">
        <f t="shared" si="3"/>
        <v/>
      </c>
      <c r="B30" s="1"/>
      <c r="C30" s="1"/>
      <c r="D30" s="1"/>
      <c r="E30" s="1"/>
      <c r="F30" s="1"/>
      <c r="G30" s="1"/>
      <c r="H30" s="1"/>
      <c r="I30" s="1"/>
      <c r="J30" s="20" t="str">
        <f t="shared" si="1"/>
        <v/>
      </c>
      <c r="K30" s="25" t="str">
        <f t="array" ref="K30">IF(L30&lt;&gt;"", SUMPRODUCT(MID(N30:Y30,5,1)*1), "")</f>
        <v/>
      </c>
      <c r="L30" s="21"/>
      <c r="M30" s="25" t="str">
        <f t="array" ref="M30">IF(L30&lt;&gt;"", SUMPRODUCT(LEFT(N30:Y30,1)*1), "")</f>
        <v/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AD30" s="5"/>
    </row>
    <row r="31">
      <c r="A31" s="20" t="str">
        <f t="shared" si="3"/>
        <v/>
      </c>
      <c r="B31" s="1"/>
      <c r="C31" s="1"/>
      <c r="D31" s="1"/>
      <c r="E31" s="1"/>
      <c r="F31" s="1"/>
      <c r="G31" s="1"/>
      <c r="H31" s="1"/>
      <c r="I31" s="1"/>
      <c r="J31" s="20" t="str">
        <f t="shared" si="1"/>
        <v/>
      </c>
      <c r="K31" s="25" t="str">
        <f t="array" ref="K31">IF(L31&lt;&gt;"", SUMPRODUCT(MID(N31:Y31,5,1)*1), "")</f>
        <v/>
      </c>
      <c r="L31" s="21"/>
      <c r="M31" s="25" t="str">
        <f t="array" ref="M31">IF(L31&lt;&gt;"", SUMPRODUCT(LEFT(N31:Y31,1)*1), "")</f>
        <v/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AD31" s="5"/>
    </row>
    <row r="32">
      <c r="A32" s="20" t="str">
        <f t="shared" si="3"/>
        <v/>
      </c>
      <c r="B32" s="1"/>
      <c r="C32" s="1"/>
      <c r="D32" s="1"/>
      <c r="E32" s="1"/>
      <c r="F32" s="1"/>
      <c r="G32" s="1"/>
      <c r="H32" s="1"/>
      <c r="I32" s="1"/>
      <c r="J32" s="20" t="str">
        <f t="shared" si="1"/>
        <v/>
      </c>
      <c r="K32" s="25" t="str">
        <f t="array" ref="K32">IF(L32&lt;&gt;"", SUMPRODUCT(MID(N32:Y32,5,1)*1), "")</f>
        <v/>
      </c>
      <c r="L32" s="21"/>
      <c r="M32" s="25" t="str">
        <f t="array" ref="M32">IF(L32&lt;&gt;"", SUMPRODUCT(LEFT(N32:Y32,1)*1), "")</f>
        <v/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AD32" s="5"/>
    </row>
    <row r="33">
      <c r="A33" s="20" t="str">
        <f t="shared" si="3"/>
        <v/>
      </c>
      <c r="B33" s="1"/>
      <c r="C33" s="1"/>
      <c r="D33" s="1"/>
      <c r="E33" s="1"/>
      <c r="F33" s="1"/>
      <c r="G33" s="1"/>
      <c r="H33" s="1"/>
      <c r="I33" s="1"/>
      <c r="J33" s="20" t="str">
        <f t="shared" si="1"/>
        <v/>
      </c>
      <c r="K33" s="25" t="str">
        <f t="array" ref="K33">IF(L33&lt;&gt;"", SUMPRODUCT(MID(N33:Y33,5,1)*1), "")</f>
        <v/>
      </c>
      <c r="L33" s="21"/>
      <c r="M33" s="25" t="str">
        <f t="array" ref="M33">IF(L33&lt;&gt;"", SUMPRODUCT(LEFT(N33:Y33,1)*1), "")</f>
        <v/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AD33" s="5"/>
    </row>
    <row r="34">
      <c r="A34" s="20" t="str">
        <f t="shared" si="3"/>
        <v/>
      </c>
      <c r="B34" s="1"/>
      <c r="C34" s="1"/>
      <c r="D34" s="1"/>
      <c r="E34" s="1"/>
      <c r="F34" s="1"/>
      <c r="G34" s="1"/>
      <c r="H34" s="1"/>
      <c r="I34" s="1"/>
      <c r="J34" s="20" t="str">
        <f t="shared" si="1"/>
        <v/>
      </c>
      <c r="K34" s="25" t="str">
        <f t="array" ref="K34">IF(L34&lt;&gt;"", SUMPRODUCT(MID(N34:Y34,5,1)*1), "")</f>
        <v/>
      </c>
      <c r="L34" s="21"/>
      <c r="M34" s="25" t="str">
        <f t="array" ref="M34">IF(L34&lt;&gt;"", SUMPRODUCT(LEFT(N34:Y34,1)*1), "")</f>
        <v/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AD34" s="5"/>
    </row>
    <row r="35">
      <c r="A35" s="20" t="str">
        <f t="shared" si="3"/>
        <v/>
      </c>
      <c r="B35" s="1"/>
      <c r="C35" s="1"/>
      <c r="D35" s="1"/>
      <c r="E35" s="1"/>
      <c r="F35" s="1"/>
      <c r="G35" s="1"/>
      <c r="H35" s="1"/>
      <c r="I35" s="1"/>
      <c r="J35" s="20" t="str">
        <f t="shared" si="1"/>
        <v/>
      </c>
      <c r="K35" s="25" t="str">
        <f t="array" ref="K35">IF(L35&lt;&gt;"", SUMPRODUCT(MID(N35:Y35,5,1)*1), "")</f>
        <v/>
      </c>
      <c r="L35" s="21"/>
      <c r="M35" s="25" t="str">
        <f t="array" ref="M35">IF(L35&lt;&gt;"", SUMPRODUCT(LEFT(N35:Y35,1)*1), "")</f>
        <v/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AD35" s="5"/>
    </row>
    <row r="36">
      <c r="A36" s="20" t="str">
        <f t="shared" si="3"/>
        <v/>
      </c>
      <c r="B36" s="1"/>
      <c r="C36" s="1"/>
      <c r="D36" s="1"/>
      <c r="E36" s="1"/>
      <c r="F36" s="1"/>
      <c r="G36" s="1"/>
      <c r="H36" s="1"/>
      <c r="I36" s="1"/>
      <c r="J36" s="20" t="str">
        <f t="shared" si="1"/>
        <v/>
      </c>
      <c r="K36" s="25" t="str">
        <f t="array" ref="K36">IF(L36&lt;&gt;"", SUMPRODUCT(MID(N36:Y36,5,1)*1), "")</f>
        <v/>
      </c>
      <c r="L36" s="28"/>
      <c r="M36" s="25" t="str">
        <f t="array" ref="M36">IF(L36&lt;&gt;"", SUMPRODUCT(LEFT(N36:Y36,1)*1), "")</f>
        <v/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AD36" s="5"/>
    </row>
    <row r="37">
      <c r="A37" s="20" t="str">
        <f t="shared" si="3"/>
        <v/>
      </c>
      <c r="B37" s="1"/>
      <c r="C37" s="1"/>
      <c r="D37" s="1"/>
      <c r="E37" s="1"/>
      <c r="F37" s="1"/>
      <c r="G37" s="1"/>
      <c r="H37" s="1"/>
      <c r="I37" s="1"/>
      <c r="J37" s="20" t="str">
        <f t="shared" si="1"/>
        <v/>
      </c>
      <c r="K37" s="25" t="str">
        <f t="array" ref="K37">IF(L37&lt;&gt;"", SUMPRODUCT(MID(N37:Y37,5,1)*1), "")</f>
        <v/>
      </c>
      <c r="L37" s="21"/>
      <c r="M37" s="25" t="str">
        <f t="array" ref="M37">IF(L37&lt;&gt;"", SUMPRODUCT(LEFT(N37:Y37,1)*1), "")</f>
        <v/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AD37" s="5"/>
    </row>
    <row r="38">
      <c r="A38" s="20" t="str">
        <f t="shared" si="3"/>
        <v/>
      </c>
      <c r="B38" s="1"/>
      <c r="C38" s="1"/>
      <c r="D38" s="1"/>
      <c r="E38" s="1"/>
      <c r="F38" s="1"/>
      <c r="G38" s="1"/>
      <c r="H38" s="1"/>
      <c r="I38" s="1"/>
      <c r="J38" s="20" t="str">
        <f t="shared" si="1"/>
        <v/>
      </c>
      <c r="K38" s="25" t="str">
        <f t="array" ref="K38">IF(L38&lt;&gt;"", SUMPRODUCT(MID(N38:Y38,5,1)*1), "")</f>
        <v/>
      </c>
      <c r="L38" s="21"/>
      <c r="M38" s="25" t="str">
        <f t="array" ref="M38">IF(L38&lt;&gt;"", SUMPRODUCT(LEFT(N38:Y38,1)*1), "")</f>
        <v/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AD38" s="5"/>
    </row>
    <row r="39">
      <c r="A39" s="20" t="str">
        <f t="shared" si="3"/>
        <v/>
      </c>
      <c r="B39" s="1"/>
      <c r="C39" s="1"/>
      <c r="D39" s="1"/>
      <c r="E39" s="1"/>
      <c r="F39" s="1"/>
      <c r="G39" s="1"/>
      <c r="H39" s="1"/>
      <c r="I39" s="1"/>
      <c r="J39" s="20" t="str">
        <f t="shared" si="1"/>
        <v/>
      </c>
      <c r="K39" s="25" t="str">
        <f t="array" ref="K39">IF(L39&lt;&gt;"", SUMPRODUCT(MID(N39:Y39,5,1)*1), "")</f>
        <v/>
      </c>
      <c r="L39" s="21"/>
      <c r="M39" s="25" t="str">
        <f t="array" ref="M39">IF(L39&lt;&gt;"", SUMPRODUCT(LEFT(N39:Y39,1)*1), "")</f>
        <v/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AD39" s="5"/>
    </row>
    <row r="40">
      <c r="A40" s="20" t="str">
        <f t="shared" si="3"/>
        <v/>
      </c>
      <c r="B40" s="1"/>
      <c r="C40" s="1"/>
      <c r="D40" s="1"/>
      <c r="E40" s="1"/>
      <c r="F40" s="1"/>
      <c r="G40" s="1"/>
      <c r="H40" s="1"/>
      <c r="I40" s="1"/>
      <c r="J40" s="20" t="str">
        <f t="shared" si="1"/>
        <v/>
      </c>
      <c r="K40" s="25" t="str">
        <f t="array" ref="K40">IF(L40&lt;&gt;"", SUMPRODUCT(MID(N40:Y40,5,1)*1), "")</f>
        <v/>
      </c>
      <c r="L40" s="21"/>
      <c r="M40" s="25" t="str">
        <f t="array" ref="M40">IF(L40&lt;&gt;"", SUMPRODUCT(LEFT(N40:Y40,1)*1), "")</f>
        <v/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8" t="s">
        <v>31</v>
      </c>
      <c r="L44" s="33" t="s">
        <v>32</v>
      </c>
      <c r="M44" s="33" t="s">
        <v>33</v>
      </c>
      <c r="N44" s="18" t="s">
        <v>93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94</v>
      </c>
      <c r="B45" s="11">
        <v>1.0</v>
      </c>
      <c r="C45" s="11">
        <v>1.0</v>
      </c>
      <c r="D45" s="11">
        <v>1.0</v>
      </c>
      <c r="E45" s="11">
        <v>1.0</v>
      </c>
      <c r="F45" s="11">
        <v>1.0</v>
      </c>
      <c r="G45" s="11">
        <v>1.0</v>
      </c>
      <c r="H45" s="11">
        <v>1.0</v>
      </c>
      <c r="I45" s="11">
        <v>1.0</v>
      </c>
      <c r="J45" s="11">
        <v>1.0</v>
      </c>
      <c r="K45" s="11">
        <v>0.0</v>
      </c>
      <c r="L45" s="11">
        <v>0.0</v>
      </c>
      <c r="M45" s="11">
        <v>0.0</v>
      </c>
      <c r="N45" s="5"/>
      <c r="O45" s="34">
        <f t="shared" ref="O45:O48" si="4">SUM(A45:N45)</f>
        <v>9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50</v>
      </c>
      <c r="B46" s="11">
        <v>1.0</v>
      </c>
      <c r="C46" s="11">
        <v>1.0</v>
      </c>
      <c r="D46" s="11">
        <v>0.0</v>
      </c>
      <c r="E46" s="11">
        <v>1.0</v>
      </c>
      <c r="F46" s="11">
        <v>1.0</v>
      </c>
      <c r="G46" s="11">
        <v>1.0</v>
      </c>
      <c r="H46" s="11">
        <v>1.0</v>
      </c>
      <c r="I46" s="11">
        <v>1.0</v>
      </c>
      <c r="J46" s="11">
        <v>1.0</v>
      </c>
      <c r="K46" s="11">
        <v>0.0</v>
      </c>
      <c r="L46" s="11">
        <v>0.0</v>
      </c>
      <c r="M46" s="11">
        <v>0.0</v>
      </c>
      <c r="N46" s="5"/>
      <c r="O46" s="34">
        <f t="shared" si="4"/>
        <v>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95</v>
      </c>
      <c r="B47" s="11">
        <v>0.0</v>
      </c>
      <c r="C47" s="11">
        <v>2.0</v>
      </c>
      <c r="D47" s="11">
        <v>2.0</v>
      </c>
      <c r="E47" s="11">
        <v>1.0</v>
      </c>
      <c r="F47" s="11">
        <v>4.0</v>
      </c>
      <c r="G47" s="11">
        <v>1.0</v>
      </c>
      <c r="H47" s="11">
        <v>1.0</v>
      </c>
      <c r="I47" s="11">
        <v>6.0</v>
      </c>
      <c r="J47" s="11">
        <v>0.0</v>
      </c>
      <c r="K47" s="11">
        <v>0.0</v>
      </c>
      <c r="L47" s="11">
        <v>0.0</v>
      </c>
      <c r="M47" s="11">
        <v>0.0</v>
      </c>
      <c r="N47" s="5"/>
      <c r="O47" s="34">
        <f t="shared" si="4"/>
        <v>17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96</v>
      </c>
      <c r="B48" s="11">
        <v>3.0</v>
      </c>
      <c r="C48" s="11">
        <v>3.0</v>
      </c>
      <c r="D48" s="11">
        <v>1.0</v>
      </c>
      <c r="E48" s="11">
        <v>0.0</v>
      </c>
      <c r="F48" s="11">
        <v>1.0</v>
      </c>
      <c r="G48" s="11">
        <v>0.0</v>
      </c>
      <c r="H48" s="11">
        <v>0.0</v>
      </c>
      <c r="I48" s="11">
        <v>1.0</v>
      </c>
      <c r="J48" s="11">
        <v>1.0</v>
      </c>
      <c r="K48" s="11">
        <v>0.0</v>
      </c>
      <c r="L48" s="11">
        <v>0.0</v>
      </c>
      <c r="M48" s="11">
        <v>0.0</v>
      </c>
      <c r="N48" s="5"/>
      <c r="O48" s="34">
        <f t="shared" si="4"/>
        <v>10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5">B45&amp;","&amp;B46&amp;","&amp;B47&amp;","&amp;B48</f>
        <v>1,1,0,3</v>
      </c>
      <c r="C49" s="5" t="str">
        <f t="shared" si="5"/>
        <v>1,1,2,3</v>
      </c>
      <c r="D49" s="5" t="str">
        <f t="shared" si="5"/>
        <v>1,0,2,1</v>
      </c>
      <c r="E49" s="5" t="str">
        <f t="shared" si="5"/>
        <v>1,1,1,0</v>
      </c>
      <c r="F49" s="5" t="str">
        <f t="shared" si="5"/>
        <v>1,1,4,1</v>
      </c>
      <c r="G49" s="5" t="str">
        <f t="shared" si="5"/>
        <v>1,1,1,0</v>
      </c>
      <c r="H49" s="5" t="str">
        <f t="shared" si="5"/>
        <v>1,1,1,0</v>
      </c>
      <c r="I49" s="5" t="str">
        <f t="shared" si="5"/>
        <v>1,1,6,1</v>
      </c>
      <c r="J49" s="5" t="str">
        <f t="shared" si="5"/>
        <v>1,1,0,1</v>
      </c>
      <c r="K49" s="5" t="str">
        <f t="shared" si="5"/>
        <v>0,0,0,0</v>
      </c>
      <c r="L49" s="5" t="str">
        <f t="shared" si="5"/>
        <v>0,0,0,0</v>
      </c>
      <c r="M49" s="5" t="str">
        <f t="shared" si="5"/>
        <v>0,0,0,0</v>
      </c>
      <c r="N49" s="5" t="str">
        <f t="shared" si="5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88"/>
  </cols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6" t="s">
        <v>10</v>
      </c>
      <c r="B2" s="4" t="s">
        <v>11</v>
      </c>
      <c r="C2" s="14">
        <f t="array" ref="C2">SUM(IF(LEFT(INDEX(MatchesDB!$K$11:$Z40, 0, MATCH(C$1, MatchesDB!$K$10:$Z$10, 0)), 1)="1", 1, 0))</f>
        <v>8</v>
      </c>
      <c r="D2" s="14">
        <f t="array" ref="D2">SUM(IF(LEFT(INDEX(MatchesDB!$K$11:$Z42, 0, MATCH(D$1, MatchesDB!$K$10:$Z$10, 0)), 1)="1", 1, 0))</f>
        <v>8</v>
      </c>
      <c r="E2" s="14">
        <f t="array" ref="E2">SUM(IF(LEFT(INDEX(MatchesDB!$K$11:$Z40, 0, MATCH(E$1, MatchesDB!$K$10:$Z$10, 0)), 1)="1", 1, 0))</f>
        <v>8</v>
      </c>
      <c r="F2" s="14">
        <f t="array" ref="F2">SUM(IF(LEFT(INDEX(MatchesDB!$K$11:$Z40, 0, MATCH(F$1, MatchesDB!$K$10:$Z$10, 0)), 1)="1", 1, 0))</f>
        <v>7</v>
      </c>
      <c r="G2" s="14">
        <f t="array" ref="G2">SUM(IF(LEFT(INDEX(MatchesDB!$K$11:$Z40, 0, MATCH(G$1, MatchesDB!$K$10:$Z$10, 0)), 1)="1", 1, 0))</f>
        <v>8</v>
      </c>
      <c r="H2" s="14">
        <f t="array" ref="H2">SUM(IF(LEFT(INDEX(MatchesDB!$K$11:$Z40, 0, MATCH(H$1, MatchesDB!$K$10:$Z$10, 0)), 1)="1", 1, 0))</f>
        <v>8</v>
      </c>
      <c r="I2" s="14">
        <f t="array" ref="I2">SUM(IF(LEFT(INDEX(MatchesDB!$K$11:$Z40, 0, MATCH(I$1, MatchesDB!$K$10:$Z$10, 0)), 1)="1", 1, 0))</f>
        <v>6</v>
      </c>
      <c r="J2" s="14">
        <f t="array" ref="J2">SUM(IF(LEFT(INDEX(MatchesDB!$K$11:$Z40, 0, MATCH(J$1, MatchesDB!$K$10:$Z$10, 0)), 1)="1", 1, 0))</f>
        <v>8</v>
      </c>
      <c r="K2" s="14">
        <f t="array" ref="K2">SUM(IF(LEFT(INDEX(MatchesDB!$K$11:$Z40, 0, MATCH(K$1, MatchesDB!$K$10:$Z$10, 0)), 1)="1", 1, 0))</f>
        <v>8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6"/>
      <c r="B3" s="4" t="s">
        <v>49</v>
      </c>
      <c r="C3" s="27">
        <f>C2/MatchesDB!$B$1</f>
        <v>1</v>
      </c>
      <c r="D3" s="27">
        <f>D2/MatchesDB!$B$1</f>
        <v>1</v>
      </c>
      <c r="E3" s="27">
        <f>E2/MatchesDB!$B$1</f>
        <v>1</v>
      </c>
      <c r="F3" s="27">
        <f>F2/MatchesDB!$B$1</f>
        <v>0.875</v>
      </c>
      <c r="G3" s="27">
        <f>G2/MatchesDB!$B$1</f>
        <v>1</v>
      </c>
      <c r="H3" s="27">
        <f>H2/MatchesDB!$B$1</f>
        <v>1</v>
      </c>
      <c r="I3" s="27">
        <f>I2/(MatchesDB!$B$1-4)</f>
        <v>1.5</v>
      </c>
      <c r="J3" s="27">
        <f>J2/MatchesDB!$B$1</f>
        <v>1</v>
      </c>
      <c r="K3" s="27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6" t="s">
        <v>50</v>
      </c>
      <c r="B4" s="4" t="s">
        <v>11</v>
      </c>
      <c r="C4" s="29">
        <f t="array" ref="C4">SUM(IF(MID(INDEX(MatchesDB!$K$11:$Z40, 0, MATCH(C$1, MatchesDB!$K$10:$Z$10, 0)), 3, 1)="1", 1, 0))</f>
        <v>6</v>
      </c>
      <c r="D4" s="29">
        <f t="array" ref="D4">SUM(IF(MID(INDEX(MatchesDB!$K$11:$Z40, 0, MATCH(D$1, MatchesDB!$K$10:$Z$10, 0)), 3, 1)="1", 1, 0))</f>
        <v>8</v>
      </c>
      <c r="E4" s="29">
        <f t="array" ref="E4">SUM(IF(MID(INDEX(MatchesDB!$K$11:$Z40, 0, MATCH(E$1, MatchesDB!$K$10:$Z$10, 0)), 3, 1)="1", 1, 0))</f>
        <v>4</v>
      </c>
      <c r="F4" s="29">
        <f t="array" ref="F4">SUM(IF(MID(INDEX(MatchesDB!$K$11:$Z40, 0, MATCH(F$1, MatchesDB!$K$10:$Z$10, 0)), 3, 1)="1", 1, 0))</f>
        <v>6</v>
      </c>
      <c r="G4" s="29">
        <f t="array" ref="G4">SUM(IF(MID(INDEX(MatchesDB!$K$11:$Z40, 0, MATCH(G$1, MatchesDB!$K$10:$Z$10, 0)), 3, 1)="1", 1, 0))</f>
        <v>7</v>
      </c>
      <c r="H4" s="29">
        <f t="array" ref="H4">SUM(IF(MID(INDEX(MatchesDB!$K$11:$Z40, 0, MATCH(H$1, MatchesDB!$K$10:$Z$10, 0)), 3, 1)="1", 1, 0))</f>
        <v>8</v>
      </c>
      <c r="I4" s="29">
        <f t="array" ref="I4">SUM(IF(MID(INDEX(MatchesDB!$K$11:$Z40, 0, MATCH(I$1, MatchesDB!$K$10:$Z$10, 0)), 3, 1)="1", 1, 0))</f>
        <v>6</v>
      </c>
      <c r="J4" s="29">
        <f t="array" ref="J4">SUM(IF(MID(INDEX(MatchesDB!$K$11:$Z40, 0, MATCH(J$1, MatchesDB!$K$10:$Z$10, 0)), 3, 1)="1", 1, 0))</f>
        <v>7</v>
      </c>
      <c r="K4" s="29">
        <f t="array" ref="K4">SUM(IF(MID(INDEX(MatchesDB!$K$11:$Z40, 0, MATCH(K$1, MatchesDB!$K$10:$Z$10, 0)), 3, 1)="1", 1, 0))</f>
        <v>8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6"/>
      <c r="B5" s="4" t="s">
        <v>49</v>
      </c>
      <c r="C5" s="27">
        <f t="shared" ref="C5:K5" si="1">C4/C2</f>
        <v>0.75</v>
      </c>
      <c r="D5" s="27">
        <f t="shared" si="1"/>
        <v>1</v>
      </c>
      <c r="E5" s="27">
        <f t="shared" si="1"/>
        <v>0.5</v>
      </c>
      <c r="F5" s="27">
        <f t="shared" si="1"/>
        <v>0.8571428571</v>
      </c>
      <c r="G5" s="27">
        <f t="shared" si="1"/>
        <v>0.875</v>
      </c>
      <c r="H5" s="27">
        <f t="shared" si="1"/>
        <v>1</v>
      </c>
      <c r="I5" s="27">
        <f t="shared" si="1"/>
        <v>1</v>
      </c>
      <c r="J5" s="27">
        <f t="shared" si="1"/>
        <v>0.875</v>
      </c>
      <c r="K5" s="27">
        <f t="shared" si="1"/>
        <v>1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6" t="s">
        <v>83</v>
      </c>
      <c r="B6" s="4" t="s">
        <v>11</v>
      </c>
      <c r="C6" s="14">
        <f t="array" ref="C6">SUM(IFERROR(VALUE(MID(INDEX(MatchesDB!$K$11:$Z40, 0, MATCH(C$1, MatchesDB!$K$10:$Z$10, 0)), 5, 1)), 0))</f>
        <v>1</v>
      </c>
      <c r="D6" s="14">
        <f t="array" ref="D6">SUM(IFERROR(VALUE(MID(INDEX(MatchesDB!$K$11:$Z40, 0, MATCH(D$1, MatchesDB!$K$10:$Z$10, 0)), 5, 1)), 0))</f>
        <v>12</v>
      </c>
      <c r="E6" s="14">
        <f t="array" ref="E6">SUM(IFERROR(VALUE(MID(INDEX(MatchesDB!$K$11:$Z40, 0, MATCH(E$1, MatchesDB!$K$10:$Z$10, 0)), 5, 1)), 0))</f>
        <v>6</v>
      </c>
      <c r="F6" s="14">
        <f t="array" ref="F6">SUM(IFERROR(VALUE(MID(INDEX(MatchesDB!$K$11:$Z40, 0, MATCH(F$1, MatchesDB!$K$10:$Z$10, 0)), 5, 1)), 0))</f>
        <v>2</v>
      </c>
      <c r="G6" s="14">
        <f t="array" ref="G6">SUM(IFERROR(VALUE(MID(INDEX(MatchesDB!$K$11:$Z40, 0, MATCH(G$1, MatchesDB!$K$10:$Z$10, 0)), 5, 1)), 0))</f>
        <v>21</v>
      </c>
      <c r="H6" s="14">
        <f t="array" ref="H6">SUM(IFERROR(VALUE(MID(INDEX(MatchesDB!$K$11:$Z40, 0, MATCH(H$1, MatchesDB!$K$10:$Z$10, 0)), 5, 1)), 0))</f>
        <v>4</v>
      </c>
      <c r="I6" s="14">
        <f t="array" ref="I6">SUM(IFERROR(VALUE(MID(INDEX(MatchesDB!$K$11:$Z40, 0, MATCH(I$1, MatchesDB!$K$10:$Z$10, 0)), 5, 1)), 0))</f>
        <v>1</v>
      </c>
      <c r="J6" s="14">
        <f t="array" ref="J6">SUM(IFERROR(VALUE(MID(INDEX(MatchesDB!$K$11:$Z40, 0, MATCH(J$1, MatchesDB!$K$10:$Z$10, 0)), 5, 1)), 0))</f>
        <v>11</v>
      </c>
      <c r="K6" s="14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6"/>
      <c r="B7" s="4" t="s">
        <v>90</v>
      </c>
      <c r="C7" s="32">
        <f t="shared" ref="C7:K7" si="2">C6/C2</f>
        <v>0.125</v>
      </c>
      <c r="D7" s="32">
        <f t="shared" si="2"/>
        <v>1.5</v>
      </c>
      <c r="E7" s="32">
        <f t="shared" si="2"/>
        <v>0.75</v>
      </c>
      <c r="F7" s="32">
        <f t="shared" si="2"/>
        <v>0.2857142857</v>
      </c>
      <c r="G7" s="32">
        <f t="shared" si="2"/>
        <v>2.625</v>
      </c>
      <c r="H7" s="32">
        <f t="shared" si="2"/>
        <v>0.5</v>
      </c>
      <c r="I7" s="32">
        <f t="shared" si="2"/>
        <v>0.1666666667</v>
      </c>
      <c r="J7" s="32">
        <f t="shared" si="2"/>
        <v>1.375</v>
      </c>
      <c r="K7" s="32">
        <f t="shared" si="2"/>
        <v>0.625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6" t="s">
        <v>91</v>
      </c>
      <c r="B8" s="4" t="s">
        <v>11</v>
      </c>
      <c r="C8" s="29">
        <f t="array" ref="C8">SUM(IFERROR(VALUE(MID(INDEX(MatchesDB!$K$11:$Z40, 0, MATCH(C$1, MatchesDB!$K$10:$Z$10, 0)), 7, 1)), 0))</f>
        <v>8</v>
      </c>
      <c r="D8" s="29">
        <f t="array" ref="D8">SUM(IFERROR(VALUE(MID(INDEX(MatchesDB!$K$11:$Z40, 0, MATCH(D$1, MatchesDB!$K$10:$Z$10, 0)), 7, 1)), 0))</f>
        <v>10</v>
      </c>
      <c r="E8" s="29">
        <f t="array" ref="E8">SUM(IFERROR(VALUE(MID(INDEX(MatchesDB!$K$11:$Z40, 0, MATCH(E$1, MatchesDB!$K$10:$Z$10, 0)), 7, 1)), 0))</f>
        <v>2</v>
      </c>
      <c r="F8" s="29">
        <f t="array" ref="F8">SUM(IFERROR(VALUE(MID(INDEX(MatchesDB!$K$11:$Z40, 0, MATCH(F$1, MatchesDB!$K$10:$Z$10, 0)), 7, 1)), 0))</f>
        <v>2</v>
      </c>
      <c r="G8" s="29">
        <f t="array" ref="G8">SUM(IFERROR(VALUE(MID(INDEX(MatchesDB!$K$11:$Z40, 0, MATCH(G$1, MatchesDB!$K$10:$Z$10, 0)), 7, 1)), 0))</f>
        <v>4</v>
      </c>
      <c r="H8" s="29">
        <f t="array" ref="H8">SUM(IFERROR(VALUE(MID(INDEX(MatchesDB!$K$11:$Z40, 0, MATCH(H$1, MatchesDB!$K$10:$Z$10, 0)), 7, 1)), 0))</f>
        <v>2</v>
      </c>
      <c r="I8" s="29">
        <f t="array" ref="I8">SUM(IFERROR(VALUE(MID(INDEX(MatchesDB!$K$11:$Z40, 0, MATCH(I$1, MatchesDB!$K$10:$Z$10, 0)), 7, 1)), 0))</f>
        <v>0</v>
      </c>
      <c r="J8" s="29">
        <f t="array" ref="J8">SUM(IFERROR(VALUE(MID(INDEX(MatchesDB!$K$11:$Z40, 0, MATCH(J$1, MatchesDB!$K$10:$Z$10, 0)), 7, 1)), 0))</f>
        <v>5</v>
      </c>
      <c r="K8" s="29">
        <f t="array" ref="K8">SUM(IFERROR(VALUE(MID(INDEX(MatchesDB!$K$11:$Z40, 0, MATCH(K$1, MatchesDB!$K$10:$Z$10, 0)), 7, 1)), 0))</f>
        <v>4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6"/>
      <c r="B9" s="4" t="s">
        <v>90</v>
      </c>
      <c r="C9" s="32">
        <f t="shared" ref="C9:K9" si="3">C8/C2</f>
        <v>1</v>
      </c>
      <c r="D9" s="32">
        <f t="shared" si="3"/>
        <v>1.25</v>
      </c>
      <c r="E9" s="32">
        <f t="shared" si="3"/>
        <v>0.25</v>
      </c>
      <c r="F9" s="32">
        <f t="shared" si="3"/>
        <v>0.2857142857</v>
      </c>
      <c r="G9" s="32">
        <f t="shared" si="3"/>
        <v>0.5</v>
      </c>
      <c r="H9" s="32">
        <f t="shared" si="3"/>
        <v>0.25</v>
      </c>
      <c r="I9" s="32">
        <f t="shared" si="3"/>
        <v>0</v>
      </c>
      <c r="J9" s="32">
        <f t="shared" si="3"/>
        <v>0.625</v>
      </c>
      <c r="K9" s="32">
        <f t="shared" si="3"/>
        <v>0.5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6" t="s">
        <v>92</v>
      </c>
      <c r="B10" s="4" t="s">
        <v>11</v>
      </c>
      <c r="C10" s="14">
        <f t="shared" ref="C10:K10" si="4">C6+C8</f>
        <v>9</v>
      </c>
      <c r="D10" s="14">
        <f t="shared" si="4"/>
        <v>22</v>
      </c>
      <c r="E10" s="14">
        <f t="shared" si="4"/>
        <v>8</v>
      </c>
      <c r="F10" s="14">
        <f t="shared" si="4"/>
        <v>4</v>
      </c>
      <c r="G10" s="14">
        <f t="shared" si="4"/>
        <v>25</v>
      </c>
      <c r="H10" s="14">
        <f t="shared" si="4"/>
        <v>6</v>
      </c>
      <c r="I10" s="14">
        <f t="shared" si="4"/>
        <v>1</v>
      </c>
      <c r="J10" s="14">
        <f t="shared" si="4"/>
        <v>16</v>
      </c>
      <c r="K10" s="14">
        <f t="shared" si="4"/>
        <v>9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6"/>
      <c r="B11" s="4" t="s">
        <v>90</v>
      </c>
      <c r="C11" s="32">
        <f t="shared" ref="C11:K11" si="5">C10/C2</f>
        <v>1.125</v>
      </c>
      <c r="D11" s="32">
        <f t="shared" si="5"/>
        <v>2.75</v>
      </c>
      <c r="E11" s="32">
        <f t="shared" si="5"/>
        <v>1</v>
      </c>
      <c r="F11" s="32">
        <f t="shared" si="5"/>
        <v>0.5714285714</v>
      </c>
      <c r="G11" s="32">
        <f t="shared" si="5"/>
        <v>3.125</v>
      </c>
      <c r="H11" s="32">
        <f t="shared" si="5"/>
        <v>0.75</v>
      </c>
      <c r="I11" s="32">
        <f t="shared" si="5"/>
        <v>0.1666666667</v>
      </c>
      <c r="J11" s="32">
        <f t="shared" si="5"/>
        <v>2</v>
      </c>
      <c r="K11" s="32">
        <f t="shared" si="5"/>
        <v>1.125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