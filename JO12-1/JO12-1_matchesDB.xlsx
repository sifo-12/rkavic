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atchesDB" sheetId="1" r:id="rId4"/>
    <sheet state="visible" name="Individual" sheetId="2" r:id="rId5"/>
  </sheets>
  <definedNames/>
  <calcPr/>
  <extLst>
    <ext uri="GoogleSheetsCustomDataVersion2">
      <go:sheetsCustomData xmlns:go="http://customooxmlschemas.google.com/" r:id="rId6" roundtripDataChecksum="jYPGeq9R/EaEgA2pODhYN+9vkUgVoQKAkVagaeyIflw="/>
    </ext>
  </extLst>
</workbook>
</file>

<file path=xl/sharedStrings.xml><?xml version="1.0" encoding="utf-8"?>
<sst xmlns="http://schemas.openxmlformats.org/spreadsheetml/2006/main" count="251" uniqueCount="97">
  <si>
    <t>Matches</t>
  </si>
  <si>
    <t>Adam</t>
  </si>
  <si>
    <t>Amit</t>
  </si>
  <si>
    <t>Ari</t>
  </si>
  <si>
    <t>Hugo</t>
  </si>
  <si>
    <t>Miron</t>
  </si>
  <si>
    <t>Mulu</t>
  </si>
  <si>
    <t>Robert</t>
  </si>
  <si>
    <t>Yarden</t>
  </si>
  <si>
    <t>Maddox</t>
  </si>
  <si>
    <t>Show-up</t>
  </si>
  <si>
    <t>Count</t>
  </si>
  <si>
    <t>Wins</t>
  </si>
  <si>
    <t>Loses</t>
  </si>
  <si>
    <t>Draws</t>
  </si>
  <si>
    <t>Points</t>
  </si>
  <si>
    <t>GD</t>
  </si>
  <si>
    <t>Scored</t>
  </si>
  <si>
    <t>Concede</t>
  </si>
  <si>
    <t>#</t>
  </si>
  <si>
    <t>Q</t>
  </si>
  <si>
    <t>League</t>
  </si>
  <si>
    <t>Date</t>
  </si>
  <si>
    <t>Kickoff</t>
  </si>
  <si>
    <t>URL</t>
  </si>
  <si>
    <t>Opponent</t>
  </si>
  <si>
    <t>Address</t>
  </si>
  <si>
    <t>H/A</t>
  </si>
  <si>
    <t>W/D/L</t>
  </si>
  <si>
    <t>Conceded</t>
  </si>
  <si>
    <t>Show up</t>
  </si>
  <si>
    <t>Ben</t>
  </si>
  <si>
    <t>Antek</t>
  </si>
  <si>
    <t>Ilay</t>
  </si>
  <si>
    <t>NVC Givaudan Kick-off Zomertornooi</t>
  </si>
  <si>
    <t>https://tournifyapp.com/live/nvckickoffzomer26/team/0w4Op0PEqwM2THnzqA6B</t>
  </si>
  <si>
    <t>sv 's-Graveland JO12-1</t>
  </si>
  <si>
    <t>A</t>
  </si>
  <si>
    <t>1,0,0,0</t>
  </si>
  <si>
    <t>1,1,0,0</t>
  </si>
  <si>
    <t>1,1,1,0</t>
  </si>
  <si>
    <t>0,0,0,0</t>
  </si>
  <si>
    <t>KFC</t>
  </si>
  <si>
    <t>SDO JO 12-1</t>
  </si>
  <si>
    <t>1,1,0,1</t>
  </si>
  <si>
    <t>1,0,1,0</t>
  </si>
  <si>
    <t>1e 21</t>
  </si>
  <si>
    <t>Buitenveldert sc. O12-3</t>
  </si>
  <si>
    <t>Gustav Mahlerlaan 2009, 1081 LB Amsterdam</t>
  </si>
  <si>
    <t>1,1,1,3</t>
  </si>
  <si>
    <t>1,0,0,1</t>
  </si>
  <si>
    <t>1,1,8,1</t>
  </si>
  <si>
    <t>1,1,2,2</t>
  </si>
  <si>
    <t>ASV Arsenal O12-1</t>
  </si>
  <si>
    <t>H</t>
  </si>
  <si>
    <t>1,1,0,4</t>
  </si>
  <si>
    <t>1,1,4,1</t>
  </si>
  <si>
    <t>1,0,2,0</t>
  </si>
  <si>
    <t>1,1,1,1</t>
  </si>
  <si>
    <t>1,1,2,0</t>
  </si>
  <si>
    <t>1,1,2,1</t>
  </si>
  <si>
    <t>RODA '23 Rksv O12-1</t>
  </si>
  <si>
    <t>Sportpark RODA '23 Bovenkerk
Noorddammerweg 48 C
1187ZT Amstelveen</t>
  </si>
  <si>
    <t>%</t>
  </si>
  <si>
    <t>1,1,3,0</t>
  </si>
  <si>
    <t>1,0,1,1</t>
  </si>
  <si>
    <t>1,0,1,2</t>
  </si>
  <si>
    <t>Sporting Martinus O12-2</t>
  </si>
  <si>
    <t>1,1,3,1</t>
  </si>
  <si>
    <t>1,1,3,2</t>
  </si>
  <si>
    <t>1,0,0,2</t>
  </si>
  <si>
    <t>Amstelveen/Heemraad O12-1</t>
  </si>
  <si>
    <t>1st lineup</t>
  </si>
  <si>
    <t>1,1,0,3</t>
  </si>
  <si>
    <t>1,1,2,3</t>
  </si>
  <si>
    <t>1,0,2,1</t>
  </si>
  <si>
    <t>1,1,6,1</t>
  </si>
  <si>
    <t>HK-A3</t>
  </si>
  <si>
    <t>WV-HEDW O12-1</t>
  </si>
  <si>
    <t>Sportpark Middenmeer, Radioweg 86, Amsterdam</t>
  </si>
  <si>
    <t>DSS O12-2JM</t>
  </si>
  <si>
    <t>NVC O12-1</t>
  </si>
  <si>
    <t>Sportpark Naarden, Amersfoortsestraatweg 14, Naarden</t>
  </si>
  <si>
    <t>FC Weesp O12-1</t>
  </si>
  <si>
    <t>Abcoude FC O12-1</t>
  </si>
  <si>
    <t>Sportpark Hollandse Kade, Ruwelspad 1, Abcoude</t>
  </si>
  <si>
    <t>Ouderkerk sv. O12-1</t>
  </si>
  <si>
    <t>Diemen sv. O12-2</t>
  </si>
  <si>
    <t>Sportpark Diemen, Sportlaan 13, Diemen</t>
  </si>
  <si>
    <t>Scorers</t>
  </si>
  <si>
    <t>Average</t>
  </si>
  <si>
    <t>Assists</t>
  </si>
  <si>
    <t>Player3</t>
  </si>
  <si>
    <t>showup</t>
  </si>
  <si>
    <t>score</t>
  </si>
  <si>
    <t>assist</t>
  </si>
  <si>
    <t>Goal contribution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</si>
</sst>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.000"/>
  </numFmts>
  <fonts count="9">
    <font>
      <sz val="10.0"/>
      <color rgb="FF000000"/>
      <name val="Arial"/>
      <scheme val="minor"/>
    </font>
    <font>
      <sz val="10.0"/>
      <color theme="1"/>
      <name val="Arial"/>
    </font>
    <font>
      <sz val="11.0"/>
      <color theme="1"/>
      <name val="Arial"/>
    </font>
    <font>
      <sz val="11.0"/>
      <color theme="1"/>
      <name val="Aptos Narrow"/>
    </font>
    <font>
      <sz val="10.0"/>
      <color rgb="FFFFFFFF"/>
      <name val="Arial"/>
    </font>
    <font>
      <b/>
      <sz val="11.0"/>
      <color theme="1"/>
      <name val="Arial"/>
    </font>
    <font>
      <b/>
      <sz val="11.0"/>
      <color theme="1"/>
      <name val="Aptos Narrow"/>
    </font>
    <font>
      <u/>
      <sz val="10.0"/>
      <color rgb="FF0000FF"/>
      <name val="Arial"/>
    </font>
    <font/>
  </fonts>
  <fills count="6">
    <fill>
      <patternFill patternType="none"/>
    </fill>
    <fill>
      <patternFill patternType="lightGray"/>
    </fill>
    <fill>
      <patternFill patternType="solid">
        <fgColor rgb="FF0097CC"/>
        <bgColor rgb="FF0097CC"/>
      </patternFill>
    </fill>
    <fill>
      <patternFill patternType="solid">
        <fgColor rgb="FFD9D9D9"/>
        <bgColor rgb="FFD9D9D9"/>
      </patternFill>
    </fill>
    <fill>
      <patternFill patternType="solid">
        <fgColor rgb="FFD8D8D8"/>
        <bgColor rgb="FFD8D8D8"/>
      </patternFill>
    </fill>
    <fill>
      <patternFill patternType="solid">
        <fgColor rgb="FFD9F1F3"/>
        <bgColor rgb="FFD9F1F3"/>
      </patternFill>
    </fill>
  </fills>
  <borders count="11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/>
      <bottom style="thin">
        <color rgb="FF000000"/>
      </bottom>
    </border>
    <border>
      <left/>
      <right style="medium">
        <color rgb="FF000000"/>
      </right>
      <top/>
      <bottom style="thin">
        <color rgb="FF000000"/>
      </bottom>
    </border>
    <border>
      <left style="medium">
        <color rgb="FF000000"/>
      </left>
      <right style="thin">
        <color rgb="FF000000"/>
      </right>
      <top/>
      <bottom style="medium">
        <color rgb="FF000000"/>
      </bottom>
    </border>
    <border>
      <left/>
      <right style="medium">
        <color rgb="FF000000"/>
      </right>
      <top/>
      <bottom style="medium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35">
    <xf borderId="0" fillId="0" fontId="0" numFmtId="0" xfId="0" applyAlignment="1" applyFont="1">
      <alignment readingOrder="0" shrinkToFit="0" vertical="bottom" wrapText="0"/>
    </xf>
    <xf borderId="1" fillId="0" fontId="1" numFmtId="0" xfId="0" applyBorder="1" applyFont="1"/>
    <xf borderId="3" fillId="0" fontId="1" numFmtId="0" xfId="0" applyBorder="1" applyFont="1"/>
    <xf borderId="2" fillId="2" fontId="2" numFmtId="0" xfId="0" applyBorder="1" applyFill="1" applyFont="1"/>
    <xf borderId="1" fillId="3" fontId="2" numFmtId="0" xfId="0" applyAlignment="1" applyBorder="1" applyFill="1" applyFont="1">
      <alignment horizontal="center"/>
    </xf>
    <xf borderId="0" fillId="0" fontId="1" numFmtId="0" xfId="0" applyFont="1"/>
    <xf borderId="4" fillId="3" fontId="2" numFmtId="0" xfId="0" applyAlignment="1" applyBorder="1" applyFill="1" applyFont="1">
      <alignment horizontal="center"/>
    </xf>
    <xf borderId="5" fillId="2" fontId="3" numFmtId="0" xfId="0" applyAlignment="1" applyBorder="1" applyFill="1" applyFont="1">
      <alignment horizontal="right"/>
    </xf>
    <xf borderId="0" fillId="0" fontId="4" numFmtId="0" xfId="0" applyAlignment="1" applyFont="1">
      <alignment horizontal="right"/>
    </xf>
    <xf borderId="6" fillId="2" fontId="2" numFmtId="0" xfId="0" applyBorder="1" applyFill="1" applyFont="1"/>
    <xf borderId="7" fillId="2" fontId="3" numFmtId="0" xfId="0" applyAlignment="1" applyBorder="1" applyFill="1" applyFont="1">
      <alignment horizontal="right"/>
    </xf>
    <xf borderId="0" fillId="0" fontId="1" numFmtId="0" xfId="0" applyAlignment="1" applyFont="1">
      <alignment readingOrder="0"/>
    </xf>
    <xf borderId="8" fillId="2" fontId="2" numFmtId="0" xfId="0" applyBorder="1" applyFill="1" applyFont="1"/>
    <xf borderId="9" fillId="2" fontId="3" numFmtId="0" xfId="0" applyAlignment="1" applyBorder="1" applyFill="1" applyFont="1">
      <alignment horizontal="right"/>
    </xf>
    <xf borderId="1" fillId="0" fontId="1" numFmtId="0" xfId="0" applyAlignment="1" applyBorder="1" applyFont="1">
      <alignment horizontal="right" shrinkToFit="0" wrapText="1"/>
    </xf>
    <xf borderId="0" fillId="0" fontId="1" numFmtId="10" xfId="0" applyFont="1" applyNumberFormat="1"/>
    <xf borderId="1" fillId="0" fontId="5" numFmtId="0" xfId="0" applyAlignment="1" applyBorder="1" applyFont="1">
      <alignment horizontal="center"/>
    </xf>
    <xf borderId="1" fillId="0" fontId="6" numFmtId="0" xfId="0" applyAlignment="1" applyBorder="1" applyFont="1">
      <alignment horizontal="center"/>
    </xf>
    <xf borderId="1" fillId="4" fontId="2" numFmtId="0" xfId="0" applyAlignment="1" applyBorder="1" applyFill="1" applyFont="1">
      <alignment horizontal="center"/>
    </xf>
    <xf borderId="1" fillId="3" fontId="2" numFmtId="0" xfId="0" applyAlignment="1" applyBorder="1" applyFill="1" applyFont="1">
      <alignment horizontal="center" readingOrder="0"/>
    </xf>
    <xf borderId="1" fillId="5" fontId="2" numFmtId="0" xfId="0" applyAlignment="1" applyBorder="1" applyFill="1" applyFont="1">
      <alignment horizontal="center"/>
    </xf>
    <xf borderId="1" fillId="0" fontId="2" numFmtId="0" xfId="0" applyAlignment="1" applyBorder="1" applyFont="1">
      <alignment horizontal="center"/>
    </xf>
    <xf borderId="1" fillId="0" fontId="2" numFmtId="16" xfId="0" applyAlignment="1" applyBorder="1" applyFont="1" applyNumberFormat="1">
      <alignment horizontal="center"/>
    </xf>
    <xf borderId="1" fillId="0" fontId="2" numFmtId="20" xfId="0" applyAlignment="1" applyBorder="1" applyFont="1" applyNumberFormat="1">
      <alignment horizontal="center"/>
    </xf>
    <xf borderId="1" fillId="0" fontId="7" numFmtId="0" xfId="0" applyBorder="1" applyFont="1"/>
    <xf borderId="1" fillId="5" fontId="3" numFmtId="0" xfId="0" applyAlignment="1" applyBorder="1" applyFill="1" applyFont="1">
      <alignment horizontal="center"/>
    </xf>
    <xf borderId="1" fillId="0" fontId="3" numFmtId="0" xfId="0" applyAlignment="1" applyBorder="1" applyFont="1">
      <alignment horizontal="center"/>
    </xf>
    <xf borderId="1" fillId="0" fontId="2" numFmtId="0" xfId="0" applyAlignment="1" applyBorder="1" applyFont="1">
      <alignment horizontal="center" readingOrder="0"/>
    </xf>
    <xf borderId="10" fillId="0" fontId="8" numFmtId="0" xfId="0" applyBorder="1" applyFont="1"/>
    <xf borderId="1" fillId="0" fontId="1" numFmtId="9" xfId="0" applyAlignment="1" applyBorder="1" applyFont="1" applyNumberFormat="1">
      <alignment horizontal="right"/>
    </xf>
    <xf borderId="1" fillId="5" fontId="2" numFmtId="0" xfId="0" applyAlignment="1" applyBorder="1" applyFill="1" applyFont="1">
      <alignment horizontal="center" readingOrder="0"/>
    </xf>
    <xf borderId="1" fillId="0" fontId="1" numFmtId="0" xfId="0" applyAlignment="1" applyBorder="1" applyFont="1">
      <alignment horizontal="right"/>
    </xf>
    <xf borderId="1" fillId="0" fontId="1" numFmtId="164" xfId="0" applyAlignment="1" applyBorder="1" applyFont="1" applyNumberFormat="1">
      <alignment horizontal="right"/>
    </xf>
    <xf borderId="1" fillId="4" fontId="2" numFmtId="0" xfId="0" applyAlignment="1" applyBorder="1" applyFill="1" applyFont="1">
      <alignment horizontal="center" readingOrder="0"/>
    </xf>
    <xf borderId="0" fillId="0" fontId="1" numFmtId="0" xfId="0" applyAlignment="1" applyFont="1">
      <alignment horizontal="righ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tournifyapp.com/live/nvckickoffzomer26/team/0w4Op0PEqwM2THnzqA6B" TargetMode="External"/><Relationship Id="rId2" Type="http://schemas.openxmlformats.org/officeDocument/2006/relationships/hyperlink" Target="https://tournifyapp.com/live/nvckickoffzomer26/team/0w4Op0PEqwM2THnzqA6B" TargetMode="External"/><Relationship Id="rId3" Type="http://schemas.openxmlformats.org/officeDocument/2006/relationships/hyperlink" Target="https://tournifyapp.com/live/nvckickoffzomer26/team/0w4Op0PEqwM2THnzqA6B" TargetMode="External"/><Relationship Id="rId4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3" max="3" width="28.88"/>
    <col customWidth="1" min="5" max="6" width="7.63"/>
    <col customWidth="1" min="7" max="7" width="23.75"/>
    <col customWidth="1" min="8" max="8" width="33.0"/>
  </cols>
  <sheetData>
    <row r="1">
      <c r="A1" s="3" t="s">
        <v>0</v>
      </c>
      <c r="B1" s="7">
        <f>SUM(COUNTIF(J11:J40,"W"),COUNTIF(J11:J40,"D"),COUNTIF(J11:J40,"L"))</f>
        <v>10</v>
      </c>
      <c r="C1" s="5"/>
      <c r="D1" s="8">
        <v>123.0</v>
      </c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</row>
    <row r="2">
      <c r="A2" s="9" t="s">
        <v>12</v>
      </c>
      <c r="B2" s="10">
        <f>COUNTIF(J11:J40,"W")</f>
        <v>5</v>
      </c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</row>
    <row r="3">
      <c r="A3" s="9" t="s">
        <v>13</v>
      </c>
      <c r="B3" s="10">
        <f>COUNTIF(J11:J40,"L")</f>
        <v>5</v>
      </c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</row>
    <row r="4">
      <c r="A4" s="9" t="s">
        <v>14</v>
      </c>
      <c r="B4" s="10">
        <f>COUNTIF(J11:J40,"D")</f>
        <v>0</v>
      </c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</row>
    <row r="5">
      <c r="A5" s="9" t="s">
        <v>15</v>
      </c>
      <c r="B5" s="10">
        <f>B2*3+B4</f>
        <v>15</v>
      </c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</row>
    <row r="6">
      <c r="A6" s="9" t="s">
        <v>16</v>
      </c>
      <c r="B6" s="10">
        <f>B7-B8</f>
        <v>43</v>
      </c>
      <c r="C6" s="5"/>
      <c r="D6" s="11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</row>
    <row r="7">
      <c r="A7" s="9" t="s">
        <v>17</v>
      </c>
      <c r="B7" s="10">
        <f>SUM(K11:K40)</f>
        <v>72</v>
      </c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</row>
    <row r="8">
      <c r="A8" s="12" t="s">
        <v>18</v>
      </c>
      <c r="B8" s="13">
        <f>SUM(L11:L40)</f>
        <v>29</v>
      </c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</row>
    <row r="9">
      <c r="A9" s="5"/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15"/>
      <c r="O9" s="15"/>
      <c r="P9" s="15"/>
      <c r="Q9" s="5"/>
      <c r="R9" s="5"/>
      <c r="S9" s="5"/>
      <c r="T9" s="5"/>
      <c r="U9" s="5"/>
      <c r="V9" s="5"/>
      <c r="W9" s="15"/>
      <c r="X9" s="5"/>
      <c r="Y9" s="5"/>
      <c r="Z9" s="5"/>
      <c r="AA9" s="5"/>
      <c r="AB9" s="5"/>
      <c r="AC9" s="5"/>
      <c r="AD9" s="5"/>
    </row>
    <row r="10">
      <c r="A10" s="16" t="s">
        <v>19</v>
      </c>
      <c r="B10" s="16" t="s">
        <v>20</v>
      </c>
      <c r="C10" s="16" t="s">
        <v>21</v>
      </c>
      <c r="D10" s="17" t="s">
        <v>22</v>
      </c>
      <c r="E10" s="17" t="s">
        <v>23</v>
      </c>
      <c r="F10" s="16" t="s">
        <v>24</v>
      </c>
      <c r="G10" s="17" t="s">
        <v>25</v>
      </c>
      <c r="H10" s="16" t="s">
        <v>26</v>
      </c>
      <c r="I10" s="17" t="s">
        <v>27</v>
      </c>
      <c r="J10" s="16" t="s">
        <v>28</v>
      </c>
      <c r="K10" s="17" t="s">
        <v>17</v>
      </c>
      <c r="L10" s="17" t="s">
        <v>29</v>
      </c>
      <c r="M10" s="17" t="s">
        <v>30</v>
      </c>
      <c r="N10" s="4" t="s">
        <v>1</v>
      </c>
      <c r="O10" s="4" t="s">
        <v>2</v>
      </c>
      <c r="P10" s="4" t="s">
        <v>3</v>
      </c>
      <c r="Q10" s="4" t="s">
        <v>4</v>
      </c>
      <c r="R10" s="4" t="s">
        <v>5</v>
      </c>
      <c r="S10" s="4" t="s">
        <v>6</v>
      </c>
      <c r="T10" s="4" t="s">
        <v>7</v>
      </c>
      <c r="U10" s="4" t="s">
        <v>8</v>
      </c>
      <c r="V10" s="4" t="s">
        <v>9</v>
      </c>
      <c r="W10" s="18" t="s">
        <v>31</v>
      </c>
      <c r="X10" s="4" t="s">
        <v>32</v>
      </c>
      <c r="Y10" s="19" t="s">
        <v>33</v>
      </c>
      <c r="AD10" s="5"/>
    </row>
    <row r="11">
      <c r="A11" s="20">
        <f>IF(ISBLANK(B11),"",1)</f>
        <v>1</v>
      </c>
      <c r="B11" s="21">
        <v>1.0</v>
      </c>
      <c r="C11" s="1" t="s">
        <v>34</v>
      </c>
      <c r="D11" s="22">
        <v>46256.0</v>
      </c>
      <c r="E11" s="23">
        <v>0.5555555555555556</v>
      </c>
      <c r="F11" s="24" t="s">
        <v>35</v>
      </c>
      <c r="G11" s="21" t="s">
        <v>36</v>
      </c>
      <c r="H11" s="21" t="s">
        <v>34</v>
      </c>
      <c r="I11" s="21" t="s">
        <v>37</v>
      </c>
      <c r="J11" s="20" t="str">
        <f t="shared" ref="J11:J40" si="1">IF(AND(NOT(ISBLANK(K11)),NOT(ISBLANK(L11))),IF(K11&gt;L11,"W",IF(K11&lt;L11,"L","D")),"")</f>
        <v>L</v>
      </c>
      <c r="K11" s="25">
        <f t="array" ref="K11">IF(L11&lt;&gt;"", SUMPRODUCT(MID(N11:Y11,5,1)*1), "")</f>
        <v>1</v>
      </c>
      <c r="L11" s="21">
        <v>2.0</v>
      </c>
      <c r="M11" s="25">
        <f t="array" ref="M11">IF(L11&lt;&gt;"", SUMPRODUCT(LEFT(N11:Y11,1)*1), "")</f>
        <v>9</v>
      </c>
      <c r="N11" s="18" t="s">
        <v>38</v>
      </c>
      <c r="O11" s="18" t="s">
        <v>39</v>
      </c>
      <c r="P11" s="18" t="s">
        <v>38</v>
      </c>
      <c r="Q11" s="18" t="s">
        <v>39</v>
      </c>
      <c r="R11" s="18" t="s">
        <v>40</v>
      </c>
      <c r="S11" s="18" t="s">
        <v>39</v>
      </c>
      <c r="T11" s="18" t="s">
        <v>39</v>
      </c>
      <c r="U11" s="18" t="s">
        <v>39</v>
      </c>
      <c r="V11" s="18" t="s">
        <v>39</v>
      </c>
      <c r="W11" s="18" t="s">
        <v>41</v>
      </c>
      <c r="X11" s="18" t="s">
        <v>41</v>
      </c>
      <c r="Y11" s="18" t="s">
        <v>41</v>
      </c>
      <c r="AD11" s="5"/>
    </row>
    <row r="12">
      <c r="A12" s="20">
        <f t="shared" ref="A12:A18" si="2">IF(ISBLANK(B12),"",A11+1)</f>
        <v>2</v>
      </c>
      <c r="B12" s="21">
        <v>1.0</v>
      </c>
      <c r="C12" s="1" t="s">
        <v>34</v>
      </c>
      <c r="D12" s="22">
        <v>46256.0</v>
      </c>
      <c r="E12" s="23">
        <v>0.5972222222222222</v>
      </c>
      <c r="F12" s="24" t="s">
        <v>35</v>
      </c>
      <c r="G12" s="21" t="s">
        <v>42</v>
      </c>
      <c r="H12" s="21" t="s">
        <v>34</v>
      </c>
      <c r="I12" s="21" t="s">
        <v>37</v>
      </c>
      <c r="J12" s="20" t="str">
        <f t="shared" si="1"/>
        <v>L</v>
      </c>
      <c r="K12" s="25">
        <f t="array" ref="K12">IF(L12&lt;&gt;"", SUMPRODUCT(MID(N12:Y12,5,1)*1), "")</f>
        <v>0</v>
      </c>
      <c r="L12" s="21">
        <v>1.0</v>
      </c>
      <c r="M12" s="25">
        <f t="array" ref="M12">IF(L12&lt;&gt;"", SUMPRODUCT(LEFT(N12:Y12,1)*1), "")</f>
        <v>9</v>
      </c>
      <c r="N12" s="18" t="s">
        <v>39</v>
      </c>
      <c r="O12" s="18" t="s">
        <v>39</v>
      </c>
      <c r="P12" s="18" t="s">
        <v>39</v>
      </c>
      <c r="Q12" s="18" t="s">
        <v>38</v>
      </c>
      <c r="R12" s="18" t="s">
        <v>39</v>
      </c>
      <c r="S12" s="18" t="s">
        <v>39</v>
      </c>
      <c r="T12" s="18" t="s">
        <v>39</v>
      </c>
      <c r="U12" s="18" t="s">
        <v>38</v>
      </c>
      <c r="V12" s="18" t="s">
        <v>39</v>
      </c>
      <c r="W12" s="18" t="s">
        <v>41</v>
      </c>
      <c r="X12" s="18" t="s">
        <v>41</v>
      </c>
      <c r="Y12" s="18" t="s">
        <v>41</v>
      </c>
      <c r="AD12" s="5"/>
    </row>
    <row r="13">
      <c r="A13" s="20">
        <f t="shared" si="2"/>
        <v>3</v>
      </c>
      <c r="B13" s="21">
        <v>1.0</v>
      </c>
      <c r="C13" s="1" t="s">
        <v>34</v>
      </c>
      <c r="D13" s="22">
        <v>46256.0</v>
      </c>
      <c r="E13" s="23">
        <v>0.6388888888888888</v>
      </c>
      <c r="F13" s="24" t="s">
        <v>35</v>
      </c>
      <c r="G13" s="21" t="s">
        <v>43</v>
      </c>
      <c r="H13" s="21" t="s">
        <v>34</v>
      </c>
      <c r="I13" s="21" t="s">
        <v>37</v>
      </c>
      <c r="J13" s="20" t="str">
        <f t="shared" si="1"/>
        <v>L</v>
      </c>
      <c r="K13" s="25">
        <f t="array" ref="K13">IF(L13&lt;&gt;"", SUMPRODUCT(MID(N13:Y13,5,1)*1), "")</f>
        <v>1</v>
      </c>
      <c r="L13" s="21">
        <v>3.0</v>
      </c>
      <c r="M13" s="25">
        <f t="array" ref="M13">IF(L13&lt;&gt;"", SUMPRODUCT(LEFT(N13:Y13,1)*1), "")</f>
        <v>9</v>
      </c>
      <c r="N13" s="18" t="s">
        <v>39</v>
      </c>
      <c r="O13" s="18" t="s">
        <v>44</v>
      </c>
      <c r="P13" s="18" t="s">
        <v>39</v>
      </c>
      <c r="Q13" s="18" t="s">
        <v>39</v>
      </c>
      <c r="R13" s="18" t="s">
        <v>45</v>
      </c>
      <c r="S13" s="18" t="s">
        <v>39</v>
      </c>
      <c r="T13" s="18" t="s">
        <v>39</v>
      </c>
      <c r="U13" s="18" t="s">
        <v>39</v>
      </c>
      <c r="V13" s="18" t="s">
        <v>39</v>
      </c>
      <c r="W13" s="18" t="s">
        <v>41</v>
      </c>
      <c r="X13" s="18" t="s">
        <v>41</v>
      </c>
      <c r="Y13" s="18" t="s">
        <v>41</v>
      </c>
      <c r="AD13" s="5"/>
    </row>
    <row r="14">
      <c r="A14" s="20">
        <f t="shared" si="2"/>
        <v>4</v>
      </c>
      <c r="B14" s="21">
        <v>1.0</v>
      </c>
      <c r="C14" s="1" t="s">
        <v>46</v>
      </c>
      <c r="D14" s="22">
        <v>46270.0</v>
      </c>
      <c r="E14" s="23">
        <v>0.4166666666666667</v>
      </c>
      <c r="F14" s="21"/>
      <c r="G14" s="21" t="s">
        <v>47</v>
      </c>
      <c r="H14" s="21" t="s">
        <v>48</v>
      </c>
      <c r="I14" s="21" t="s">
        <v>37</v>
      </c>
      <c r="J14" s="20" t="str">
        <f t="shared" si="1"/>
        <v>W</v>
      </c>
      <c r="K14" s="25">
        <f t="array" ref="K14">IF(L14&lt;&gt;"", SUMPRODUCT(MID(N14:Y14,5,1)*1), "")</f>
        <v>12</v>
      </c>
      <c r="L14" s="26">
        <v>5.0</v>
      </c>
      <c r="M14" s="25">
        <f t="array" ref="M14">IF(L14&lt;&gt;"", SUMPRODUCT(LEFT(N14:Y14,1)*1), "")</f>
        <v>9</v>
      </c>
      <c r="N14" s="18" t="s">
        <v>39</v>
      </c>
      <c r="O14" s="18" t="s">
        <v>49</v>
      </c>
      <c r="P14" s="18" t="s">
        <v>50</v>
      </c>
      <c r="Q14" s="18" t="s">
        <v>39</v>
      </c>
      <c r="R14" s="18" t="s">
        <v>51</v>
      </c>
      <c r="S14" s="18" t="s">
        <v>40</v>
      </c>
      <c r="T14" s="18" t="s">
        <v>39</v>
      </c>
      <c r="U14" s="18" t="s">
        <v>52</v>
      </c>
      <c r="V14" s="18" t="s">
        <v>39</v>
      </c>
      <c r="W14" s="18" t="s">
        <v>41</v>
      </c>
      <c r="X14" s="18" t="s">
        <v>41</v>
      </c>
      <c r="Y14" s="18" t="s">
        <v>41</v>
      </c>
      <c r="AD14" s="5"/>
    </row>
    <row r="15">
      <c r="A15" s="20">
        <f t="shared" si="2"/>
        <v>5</v>
      </c>
      <c r="B15" s="21">
        <v>1.0</v>
      </c>
      <c r="C15" s="1" t="s">
        <v>46</v>
      </c>
      <c r="D15" s="22">
        <v>46277.0</v>
      </c>
      <c r="E15" s="23">
        <v>0.375</v>
      </c>
      <c r="F15" s="21"/>
      <c r="G15" s="21" t="s">
        <v>53</v>
      </c>
      <c r="H15" s="21"/>
      <c r="I15" s="21" t="s">
        <v>54</v>
      </c>
      <c r="J15" s="20" t="str">
        <f t="shared" si="1"/>
        <v>W</v>
      </c>
      <c r="K15" s="25">
        <f t="array" ref="K15">IF(L15&lt;&gt;"", SUMPRODUCT(MID(N15:Y15,5,1)*1), "")</f>
        <v>14</v>
      </c>
      <c r="L15" s="26">
        <v>3.0</v>
      </c>
      <c r="M15" s="25">
        <f t="array" ref="M15">IF(L15&lt;&gt;"", SUMPRODUCT(LEFT(N15:Y15,1)*1), "")</f>
        <v>9</v>
      </c>
      <c r="N15" s="18" t="s">
        <v>55</v>
      </c>
      <c r="O15" s="18" t="s">
        <v>56</v>
      </c>
      <c r="P15" s="18" t="s">
        <v>57</v>
      </c>
      <c r="Q15" s="18" t="s">
        <v>58</v>
      </c>
      <c r="R15" s="18" t="s">
        <v>40</v>
      </c>
      <c r="S15" s="18" t="s">
        <v>39</v>
      </c>
      <c r="T15" s="18" t="s">
        <v>41</v>
      </c>
      <c r="U15" s="18" t="s">
        <v>59</v>
      </c>
      <c r="V15" s="18" t="s">
        <v>60</v>
      </c>
      <c r="W15" s="18" t="s">
        <v>59</v>
      </c>
      <c r="X15" s="18" t="s">
        <v>41</v>
      </c>
      <c r="Y15" s="18" t="s">
        <v>41</v>
      </c>
      <c r="AD15" s="5"/>
    </row>
    <row r="16" ht="16.5" customHeight="1">
      <c r="A16" s="20">
        <f t="shared" si="2"/>
        <v>6</v>
      </c>
      <c r="B16" s="21">
        <v>1.0</v>
      </c>
      <c r="C16" s="1" t="s">
        <v>46</v>
      </c>
      <c r="D16" s="22">
        <v>46284.0</v>
      </c>
      <c r="E16" s="23">
        <v>0.4375</v>
      </c>
      <c r="F16" s="21"/>
      <c r="G16" s="21" t="s">
        <v>61</v>
      </c>
      <c r="H16" s="21" t="s">
        <v>62</v>
      </c>
      <c r="I16" s="21" t="s">
        <v>37</v>
      </c>
      <c r="J16" s="20" t="str">
        <f t="shared" si="1"/>
        <v>W</v>
      </c>
      <c r="K16" s="25">
        <f t="array" ref="K16">IF(L16&lt;&gt;"", SUMPRODUCT(MID(N16:Y16,5,1)*1), "")</f>
        <v>8</v>
      </c>
      <c r="L16" s="27">
        <v>1.0</v>
      </c>
      <c r="M16" s="25">
        <f t="array" ref="M16">IF(L16&lt;&gt;"", SUMPRODUCT(LEFT(N16:Y16,1)*1), "")</f>
        <v>10</v>
      </c>
      <c r="N16" s="18" t="s">
        <v>44</v>
      </c>
      <c r="O16" s="18" t="s">
        <v>60</v>
      </c>
      <c r="P16" s="18" t="s">
        <v>39</v>
      </c>
      <c r="Q16" s="18" t="s">
        <v>41</v>
      </c>
      <c r="R16" s="18" t="s">
        <v>64</v>
      </c>
      <c r="S16" s="18" t="s">
        <v>44</v>
      </c>
      <c r="T16" s="18" t="s">
        <v>39</v>
      </c>
      <c r="U16" s="18" t="s">
        <v>44</v>
      </c>
      <c r="V16" s="18" t="s">
        <v>58</v>
      </c>
      <c r="W16" s="18" t="s">
        <v>65</v>
      </c>
      <c r="X16" s="18" t="s">
        <v>66</v>
      </c>
      <c r="Y16" s="18" t="s">
        <v>41</v>
      </c>
      <c r="AD16" s="5"/>
    </row>
    <row r="17">
      <c r="A17" s="20">
        <f t="shared" si="2"/>
        <v>7</v>
      </c>
      <c r="B17" s="21">
        <v>1.0</v>
      </c>
      <c r="C17" s="1" t="s">
        <v>46</v>
      </c>
      <c r="D17" s="22">
        <v>46291.0</v>
      </c>
      <c r="E17" s="23">
        <v>0.375</v>
      </c>
      <c r="F17" s="21"/>
      <c r="G17" s="21" t="s">
        <v>67</v>
      </c>
      <c r="H17" s="21"/>
      <c r="I17" s="21" t="s">
        <v>54</v>
      </c>
      <c r="J17" s="20" t="str">
        <f t="shared" si="1"/>
        <v>W</v>
      </c>
      <c r="K17" s="25">
        <f t="array" ref="K17">IF(L17&lt;&gt;"", SUMPRODUCT(MID(N17:Y17,5,1)*1), "")</f>
        <v>15</v>
      </c>
      <c r="L17" s="27">
        <v>1.0</v>
      </c>
      <c r="M17" s="25">
        <f t="array" ref="M17">IF(L17&lt;&gt;"", SUMPRODUCT(LEFT(N17:Y17,1)*1), "")</f>
        <v>10</v>
      </c>
      <c r="N17" s="18" t="s">
        <v>45</v>
      </c>
      <c r="O17" s="18" t="s">
        <v>68</v>
      </c>
      <c r="P17" s="18" t="s">
        <v>59</v>
      </c>
      <c r="Q17" s="18" t="s">
        <v>44</v>
      </c>
      <c r="R17" s="18" t="s">
        <v>69</v>
      </c>
      <c r="S17" s="18" t="s">
        <v>60</v>
      </c>
      <c r="T17" s="18" t="s">
        <v>41</v>
      </c>
      <c r="U17" s="18" t="s">
        <v>58</v>
      </c>
      <c r="V17" s="18" t="s">
        <v>60</v>
      </c>
      <c r="W17" s="18" t="s">
        <v>70</v>
      </c>
      <c r="X17" s="18" t="s">
        <v>41</v>
      </c>
      <c r="Y17" s="18" t="s">
        <v>65</v>
      </c>
      <c r="AD17" s="5"/>
    </row>
    <row r="18">
      <c r="A18" s="20">
        <f t="shared" si="2"/>
        <v>8</v>
      </c>
      <c r="B18" s="21">
        <v>1.0</v>
      </c>
      <c r="C18" s="1" t="s">
        <v>46</v>
      </c>
      <c r="D18" s="22">
        <v>46298.0</v>
      </c>
      <c r="E18" s="23">
        <v>0.375</v>
      </c>
      <c r="F18" s="21"/>
      <c r="G18" s="21" t="s">
        <v>71</v>
      </c>
      <c r="H18" s="21"/>
      <c r="I18" s="21" t="s">
        <v>54</v>
      </c>
      <c r="J18" s="20" t="str">
        <f t="shared" si="1"/>
        <v>W</v>
      </c>
      <c r="K18" s="30">
        <v>19.0</v>
      </c>
      <c r="L18" s="27">
        <v>2.0</v>
      </c>
      <c r="M18" s="25">
        <f t="array" ref="M18">IF(L18&lt;&gt;"", SUMPRODUCT(LEFT(N18:Y18,1)*1), "")</f>
        <v>9</v>
      </c>
      <c r="N18" s="18" t="s">
        <v>73</v>
      </c>
      <c r="O18" s="18" t="s">
        <v>74</v>
      </c>
      <c r="P18" s="18" t="s">
        <v>75</v>
      </c>
      <c r="Q18" s="18" t="s">
        <v>40</v>
      </c>
      <c r="R18" s="18" t="s">
        <v>56</v>
      </c>
      <c r="S18" s="18" t="s">
        <v>40</v>
      </c>
      <c r="T18" s="18" t="s">
        <v>40</v>
      </c>
      <c r="U18" s="18" t="s">
        <v>76</v>
      </c>
      <c r="V18" s="18" t="s">
        <v>44</v>
      </c>
      <c r="W18" s="18" t="s">
        <v>41</v>
      </c>
      <c r="X18" s="18" t="s">
        <v>41</v>
      </c>
      <c r="Y18" s="18" t="s">
        <v>41</v>
      </c>
      <c r="AD18" s="5"/>
    </row>
    <row r="19">
      <c r="A19" s="20">
        <v>9.0</v>
      </c>
      <c r="B19" s="21">
        <v>2.0</v>
      </c>
      <c r="C19" s="1" t="s">
        <v>77</v>
      </c>
      <c r="D19" s="22">
        <v>46319.0</v>
      </c>
      <c r="E19" s="23">
        <v>0.3541666666666667</v>
      </c>
      <c r="F19" s="21"/>
      <c r="G19" s="21" t="s">
        <v>78</v>
      </c>
      <c r="H19" s="21" t="s">
        <v>79</v>
      </c>
      <c r="I19" s="21" t="s">
        <v>37</v>
      </c>
      <c r="J19" s="20" t="str">
        <f t="shared" si="1"/>
        <v>L</v>
      </c>
      <c r="K19" s="30">
        <f t="array" ref="K19">IF(L19&lt;&gt;"", SUMPRODUCT(MID(N19:Y19,5,1)*1), "")</f>
        <v>1</v>
      </c>
      <c r="L19" s="27">
        <v>5.0</v>
      </c>
      <c r="M19" s="25">
        <f t="array" ref="M19">IF(L19&lt;&gt;"", SUMPRODUCT(LEFT(N19:Y19,1)*1), "")</f>
        <v>10</v>
      </c>
      <c r="N19" s="18" t="s">
        <v>39</v>
      </c>
      <c r="O19" s="18" t="s">
        <v>38</v>
      </c>
      <c r="P19" s="18" t="s">
        <v>39</v>
      </c>
      <c r="Q19" s="18" t="s">
        <v>39</v>
      </c>
      <c r="R19" s="18" t="s">
        <v>45</v>
      </c>
      <c r="S19" s="18" t="s">
        <v>39</v>
      </c>
      <c r="T19" s="18" t="s">
        <v>39</v>
      </c>
      <c r="U19" s="18" t="s">
        <v>39</v>
      </c>
      <c r="V19" s="18" t="s">
        <v>39</v>
      </c>
      <c r="W19" s="18" t="s">
        <v>41</v>
      </c>
      <c r="X19" s="18" t="s">
        <v>39</v>
      </c>
      <c r="Y19" s="18" t="s">
        <v>41</v>
      </c>
      <c r="AD19" s="5"/>
    </row>
    <row r="20">
      <c r="A20" s="20">
        <v>10.0</v>
      </c>
      <c r="B20" s="21">
        <v>2.0</v>
      </c>
      <c r="C20" s="1" t="s">
        <v>77</v>
      </c>
      <c r="D20" s="22">
        <v>46326.0</v>
      </c>
      <c r="E20" s="23">
        <v>0.375</v>
      </c>
      <c r="F20" s="21"/>
      <c r="G20" s="27" t="s">
        <v>80</v>
      </c>
      <c r="H20" s="21"/>
      <c r="I20" s="21" t="s">
        <v>54</v>
      </c>
      <c r="J20" s="20" t="str">
        <f t="shared" si="1"/>
        <v>L</v>
      </c>
      <c r="K20" s="30">
        <f t="array" ref="K20">IF(L20&lt;&gt;"", SUMPRODUCT(MID(N20:Y20,5,1)*1), "")</f>
        <v>1</v>
      </c>
      <c r="L20" s="27">
        <v>6.0</v>
      </c>
      <c r="M20" s="25">
        <f t="array" ref="M20">IF(L20&lt;&gt;"", SUMPRODUCT(LEFT(N20:Y20,1)*1), "")</f>
        <v>10</v>
      </c>
      <c r="N20" s="18" t="s">
        <v>39</v>
      </c>
      <c r="O20" s="18" t="s">
        <v>39</v>
      </c>
      <c r="P20" s="18" t="s">
        <v>39</v>
      </c>
      <c r="Q20" s="18" t="s">
        <v>40</v>
      </c>
      <c r="R20" s="18" t="s">
        <v>39</v>
      </c>
      <c r="S20" s="18" t="s">
        <v>39</v>
      </c>
      <c r="T20" s="18" t="s">
        <v>41</v>
      </c>
      <c r="U20" s="18" t="s">
        <v>39</v>
      </c>
      <c r="V20" s="18" t="s">
        <v>38</v>
      </c>
      <c r="W20" s="18" t="s">
        <v>38</v>
      </c>
      <c r="X20" s="18" t="s">
        <v>38</v>
      </c>
      <c r="Y20" s="18" t="s">
        <v>41</v>
      </c>
      <c r="AD20" s="5"/>
    </row>
    <row r="21">
      <c r="A21" s="20">
        <v>11.0</v>
      </c>
      <c r="B21" s="21">
        <v>2.0</v>
      </c>
      <c r="C21" s="1" t="s">
        <v>77</v>
      </c>
      <c r="D21" s="22">
        <v>46333.0</v>
      </c>
      <c r="E21" s="23">
        <v>0.4895833333333333</v>
      </c>
      <c r="F21" s="21"/>
      <c r="G21" s="27" t="s">
        <v>81</v>
      </c>
      <c r="H21" s="27" t="s">
        <v>82</v>
      </c>
      <c r="I21" s="27" t="s">
        <v>37</v>
      </c>
      <c r="J21" s="20" t="str">
        <f t="shared" si="1"/>
        <v/>
      </c>
      <c r="K21" s="30" t="str">
        <f t="array" ref="K21">IF(L21&lt;&gt;"", SUMPRODUCT(MID(N21:Y21,5,1)*1), "")</f>
        <v/>
      </c>
      <c r="L21" s="27"/>
      <c r="M21" s="25" t="str">
        <f t="array" ref="M21">IF(L21&lt;&gt;"", SUMPRODUCT(LEFT(N21:Y21,1)*1), "")</f>
        <v/>
      </c>
      <c r="N21" s="18"/>
      <c r="O21" s="18"/>
      <c r="P21" s="18"/>
      <c r="Q21" s="18"/>
      <c r="R21" s="18"/>
      <c r="S21" s="18"/>
      <c r="T21" s="18"/>
      <c r="U21" s="18"/>
      <c r="V21" s="18"/>
      <c r="W21" s="18"/>
      <c r="X21" s="18"/>
      <c r="Y21" s="18"/>
      <c r="AD21" s="5"/>
    </row>
    <row r="22">
      <c r="A22" s="20">
        <v>12.0</v>
      </c>
      <c r="B22" s="21">
        <v>2.0</v>
      </c>
      <c r="C22" s="1" t="s">
        <v>77</v>
      </c>
      <c r="D22" s="22">
        <v>46340.0</v>
      </c>
      <c r="E22" s="23">
        <v>0.375</v>
      </c>
      <c r="F22" s="21"/>
      <c r="G22" s="27" t="s">
        <v>83</v>
      </c>
      <c r="H22" s="21"/>
      <c r="I22" s="21" t="s">
        <v>54</v>
      </c>
      <c r="J22" s="20" t="str">
        <f t="shared" si="1"/>
        <v/>
      </c>
      <c r="K22" s="30" t="str">
        <f t="array" ref="K22">IF(L22&lt;&gt;"", SUMPRODUCT(MID(N22:Y22,5,1)*1), "")</f>
        <v/>
      </c>
      <c r="L22" s="27"/>
      <c r="M22" s="25" t="str">
        <f t="array" ref="M22">IF(L22&lt;&gt;"", SUMPRODUCT(LEFT(N22:Y22,1)*1), "")</f>
        <v/>
      </c>
      <c r="N22" s="18"/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18"/>
      <c r="AD22" s="5"/>
    </row>
    <row r="23">
      <c r="A23" s="20">
        <v>13.0</v>
      </c>
      <c r="B23" s="21">
        <v>2.0</v>
      </c>
      <c r="C23" s="1" t="s">
        <v>77</v>
      </c>
      <c r="D23" s="22">
        <v>46347.0</v>
      </c>
      <c r="E23" s="23">
        <v>0.46875</v>
      </c>
      <c r="F23" s="21"/>
      <c r="G23" s="27" t="s">
        <v>84</v>
      </c>
      <c r="H23" s="27" t="s">
        <v>85</v>
      </c>
      <c r="I23" s="27" t="s">
        <v>37</v>
      </c>
      <c r="J23" s="20" t="str">
        <f t="shared" si="1"/>
        <v/>
      </c>
      <c r="K23" s="30" t="str">
        <f t="array" ref="K23">IF(L23&lt;&gt;"", SUMPRODUCT(MID(N23:Y23,5,1)*1), "")</f>
        <v/>
      </c>
      <c r="L23" s="27"/>
      <c r="M23" s="25" t="str">
        <f t="array" ref="M23">IF(L23&lt;&gt;"", SUMPRODUCT(LEFT(N23:Y23,1)*1), "")</f>
        <v/>
      </c>
      <c r="N23" s="18"/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AD23" s="5"/>
    </row>
    <row r="24">
      <c r="A24" s="20">
        <v>14.0</v>
      </c>
      <c r="B24" s="21">
        <v>2.0</v>
      </c>
      <c r="C24" s="1" t="s">
        <v>77</v>
      </c>
      <c r="D24" s="22">
        <v>46354.0</v>
      </c>
      <c r="E24" s="23">
        <v>0.375</v>
      </c>
      <c r="F24" s="21"/>
      <c r="G24" s="27" t="s">
        <v>86</v>
      </c>
      <c r="H24" s="21"/>
      <c r="I24" s="21" t="s">
        <v>54</v>
      </c>
      <c r="J24" s="20" t="str">
        <f t="shared" si="1"/>
        <v/>
      </c>
      <c r="K24" s="30" t="str">
        <f t="array" ref="K24">IF(L24&lt;&gt;"", SUMPRODUCT(MID(N24:Y24,5,1)*1), "")</f>
        <v/>
      </c>
      <c r="L24" s="27"/>
      <c r="M24" s="25" t="str">
        <f t="array" ref="M24">IF(L24&lt;&gt;"", SUMPRODUCT(LEFT(N24:Y24,1)*1), "")</f>
        <v/>
      </c>
      <c r="N24" s="18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AD24" s="5"/>
    </row>
    <row r="25">
      <c r="A25" s="20">
        <v>15.0</v>
      </c>
      <c r="B25" s="21">
        <v>2.0</v>
      </c>
      <c r="C25" s="1" t="s">
        <v>77</v>
      </c>
      <c r="D25" s="22">
        <v>46361.0</v>
      </c>
      <c r="E25" s="23">
        <v>0.40625</v>
      </c>
      <c r="F25" s="21"/>
      <c r="G25" s="27" t="s">
        <v>87</v>
      </c>
      <c r="H25" s="27" t="s">
        <v>88</v>
      </c>
      <c r="I25" s="27" t="s">
        <v>37</v>
      </c>
      <c r="J25" s="20" t="str">
        <f t="shared" si="1"/>
        <v/>
      </c>
      <c r="K25" s="30" t="str">
        <f t="array" ref="K25">IF(L25&lt;&gt;"", SUMPRODUCT(MID(N25:Y25,5,1)*1), "")</f>
        <v/>
      </c>
      <c r="L25" s="27"/>
      <c r="M25" s="25" t="str">
        <f t="array" ref="M25">IF(L25&lt;&gt;"", SUMPRODUCT(LEFT(N25:Y25,1)*1), "")</f>
        <v/>
      </c>
      <c r="N25" s="18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AD25" s="5"/>
    </row>
    <row r="26">
      <c r="A26" s="20" t="str">
        <f t="shared" ref="A26:A40" si="3">IF(ISBLANK(B26),"",A25+1)</f>
        <v/>
      </c>
      <c r="B26" s="1"/>
      <c r="C26" s="1"/>
      <c r="D26" s="1"/>
      <c r="E26" s="1"/>
      <c r="F26" s="1"/>
      <c r="G26" s="1"/>
      <c r="H26" s="1"/>
      <c r="I26" s="1"/>
      <c r="J26" s="20" t="str">
        <f t="shared" si="1"/>
        <v/>
      </c>
      <c r="K26" s="25" t="str">
        <f t="array" ref="K26">IF(L26&lt;&gt;"", SUMPRODUCT(MID(N26:Y26,5,1)*1), "")</f>
        <v/>
      </c>
      <c r="L26" s="26"/>
      <c r="M26" s="25" t="str">
        <f t="array" ref="M26">IF(L26&lt;&gt;"", SUMPRODUCT(LEFT(N26:Y26,1)*1), "")</f>
        <v/>
      </c>
      <c r="N26" s="18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AD26" s="5"/>
    </row>
    <row r="27">
      <c r="A27" s="20" t="str">
        <f t="shared" si="3"/>
        <v/>
      </c>
      <c r="B27" s="1"/>
      <c r="C27" s="1"/>
      <c r="D27" s="1"/>
      <c r="E27" s="1"/>
      <c r="F27" s="1"/>
      <c r="G27" s="1"/>
      <c r="H27" s="1"/>
      <c r="I27" s="1"/>
      <c r="J27" s="20" t="str">
        <f t="shared" si="1"/>
        <v/>
      </c>
      <c r="K27" s="25" t="str">
        <f t="array" ref="K27">IF(L27&lt;&gt;"", SUMPRODUCT(MID(N27:Y27,5,1)*1), "")</f>
        <v/>
      </c>
      <c r="L27" s="21"/>
      <c r="M27" s="25" t="str">
        <f t="array" ref="M27">IF(L27&lt;&gt;"", SUMPRODUCT(LEFT(N27:Y27,1)*1), "")</f>
        <v/>
      </c>
      <c r="N27" s="18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AD27" s="5"/>
    </row>
    <row r="28">
      <c r="A28" s="20" t="str">
        <f t="shared" si="3"/>
        <v/>
      </c>
      <c r="B28" s="1"/>
      <c r="C28" s="1"/>
      <c r="D28" s="1"/>
      <c r="E28" s="1"/>
      <c r="F28" s="1"/>
      <c r="G28" s="1"/>
      <c r="H28" s="1"/>
      <c r="I28" s="1"/>
      <c r="J28" s="20" t="str">
        <f t="shared" si="1"/>
        <v/>
      </c>
      <c r="K28" s="25" t="str">
        <f t="array" ref="K28">IF(L28&lt;&gt;"", SUMPRODUCT(MID(N28:Y28,5,1)*1), "")</f>
        <v/>
      </c>
      <c r="L28" s="21"/>
      <c r="M28" s="25" t="str">
        <f t="array" ref="M28">IF(L28&lt;&gt;"", SUMPRODUCT(LEFT(N28:Y28,1)*1), "")</f>
        <v/>
      </c>
      <c r="N28" s="18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AD28" s="5"/>
    </row>
    <row r="29">
      <c r="A29" s="20" t="str">
        <f t="shared" si="3"/>
        <v/>
      </c>
      <c r="B29" s="1"/>
      <c r="C29" s="1"/>
      <c r="D29" s="1"/>
      <c r="E29" s="1"/>
      <c r="F29" s="1"/>
      <c r="G29" s="1"/>
      <c r="H29" s="1"/>
      <c r="I29" s="1"/>
      <c r="J29" s="20" t="str">
        <f t="shared" si="1"/>
        <v/>
      </c>
      <c r="K29" s="25" t="str">
        <f t="array" ref="K29">IF(L29&lt;&gt;"", SUMPRODUCT(MID(N29:Y29,5,1)*1), "")</f>
        <v/>
      </c>
      <c r="L29" s="21"/>
      <c r="M29" s="25" t="str">
        <f t="array" ref="M29">IF(L29&lt;&gt;"", SUMPRODUCT(LEFT(N29:Y29,1)*1), "")</f>
        <v/>
      </c>
      <c r="N29" s="18"/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AD29" s="5"/>
    </row>
    <row r="30">
      <c r="A30" s="20" t="str">
        <f t="shared" si="3"/>
        <v/>
      </c>
      <c r="B30" s="1"/>
      <c r="C30" s="1"/>
      <c r="D30" s="1"/>
      <c r="E30" s="1"/>
      <c r="F30" s="1"/>
      <c r="G30" s="1"/>
      <c r="H30" s="1"/>
      <c r="I30" s="1"/>
      <c r="J30" s="20" t="str">
        <f t="shared" si="1"/>
        <v/>
      </c>
      <c r="K30" s="25" t="str">
        <f t="array" ref="K30">IF(L30&lt;&gt;"", SUMPRODUCT(MID(N30:Y30,5,1)*1), "")</f>
        <v/>
      </c>
      <c r="L30" s="21"/>
      <c r="M30" s="25" t="str">
        <f t="array" ref="M30">IF(L30&lt;&gt;"", SUMPRODUCT(LEFT(N30:Y30,1)*1), "")</f>
        <v/>
      </c>
      <c r="N30" s="18"/>
      <c r="O30" s="18"/>
      <c r="P30" s="18"/>
      <c r="Q30" s="18"/>
      <c r="R30" s="18"/>
      <c r="S30" s="18"/>
      <c r="T30" s="18"/>
      <c r="U30" s="18"/>
      <c r="V30" s="18"/>
      <c r="W30" s="18"/>
      <c r="X30" s="18"/>
      <c r="Y30" s="18"/>
      <c r="AD30" s="5"/>
    </row>
    <row r="31">
      <c r="A31" s="20" t="str">
        <f t="shared" si="3"/>
        <v/>
      </c>
      <c r="B31" s="1"/>
      <c r="C31" s="1"/>
      <c r="D31" s="1"/>
      <c r="E31" s="1"/>
      <c r="F31" s="1"/>
      <c r="G31" s="1"/>
      <c r="H31" s="1"/>
      <c r="I31" s="1"/>
      <c r="J31" s="20" t="str">
        <f t="shared" si="1"/>
        <v/>
      </c>
      <c r="K31" s="25" t="str">
        <f t="array" ref="K31">IF(L31&lt;&gt;"", SUMPRODUCT(MID(N31:Y31,5,1)*1), "")</f>
        <v/>
      </c>
      <c r="L31" s="21"/>
      <c r="M31" s="25" t="str">
        <f t="array" ref="M31">IF(L31&lt;&gt;"", SUMPRODUCT(LEFT(N31:Y31,1)*1), "")</f>
        <v/>
      </c>
      <c r="N31" s="18"/>
      <c r="O31" s="18"/>
      <c r="P31" s="18"/>
      <c r="Q31" s="18"/>
      <c r="R31" s="18"/>
      <c r="S31" s="18"/>
      <c r="T31" s="18"/>
      <c r="U31" s="18"/>
      <c r="V31" s="18"/>
      <c r="W31" s="18"/>
      <c r="X31" s="18"/>
      <c r="Y31" s="18"/>
      <c r="AD31" s="5"/>
    </row>
    <row r="32">
      <c r="A32" s="20" t="str">
        <f t="shared" si="3"/>
        <v/>
      </c>
      <c r="B32" s="1"/>
      <c r="C32" s="1"/>
      <c r="D32" s="1"/>
      <c r="E32" s="1"/>
      <c r="F32" s="1"/>
      <c r="G32" s="1"/>
      <c r="H32" s="1"/>
      <c r="I32" s="1"/>
      <c r="J32" s="20" t="str">
        <f t="shared" si="1"/>
        <v/>
      </c>
      <c r="K32" s="25" t="str">
        <f t="array" ref="K32">IF(L32&lt;&gt;"", SUMPRODUCT(MID(N32:Y32,5,1)*1), "")</f>
        <v/>
      </c>
      <c r="L32" s="21"/>
      <c r="M32" s="25" t="str">
        <f t="array" ref="M32">IF(L32&lt;&gt;"", SUMPRODUCT(LEFT(N32:Y32,1)*1), "")</f>
        <v/>
      </c>
      <c r="N32" s="18"/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18"/>
      <c r="AD32" s="5"/>
    </row>
    <row r="33">
      <c r="A33" s="20" t="str">
        <f t="shared" si="3"/>
        <v/>
      </c>
      <c r="B33" s="1"/>
      <c r="C33" s="1"/>
      <c r="D33" s="1"/>
      <c r="E33" s="1"/>
      <c r="F33" s="1"/>
      <c r="G33" s="1"/>
      <c r="H33" s="1"/>
      <c r="I33" s="1"/>
      <c r="J33" s="20" t="str">
        <f t="shared" si="1"/>
        <v/>
      </c>
      <c r="K33" s="25" t="str">
        <f t="array" ref="K33">IF(L33&lt;&gt;"", SUMPRODUCT(MID(N33:Y33,5,1)*1), "")</f>
        <v/>
      </c>
      <c r="L33" s="21"/>
      <c r="M33" s="25" t="str">
        <f t="array" ref="M33">IF(L33&lt;&gt;"", SUMPRODUCT(LEFT(N33:Y33,1)*1), "")</f>
        <v/>
      </c>
      <c r="N33" s="18"/>
      <c r="O33" s="18"/>
      <c r="P33" s="18"/>
      <c r="Q33" s="18"/>
      <c r="R33" s="18"/>
      <c r="S33" s="18"/>
      <c r="T33" s="18"/>
      <c r="U33" s="18"/>
      <c r="V33" s="18"/>
      <c r="W33" s="18"/>
      <c r="X33" s="18"/>
      <c r="Y33" s="18"/>
      <c r="AD33" s="5"/>
    </row>
    <row r="34">
      <c r="A34" s="20" t="str">
        <f t="shared" si="3"/>
        <v/>
      </c>
      <c r="B34" s="1"/>
      <c r="C34" s="1"/>
      <c r="D34" s="1"/>
      <c r="E34" s="1"/>
      <c r="F34" s="1"/>
      <c r="G34" s="1"/>
      <c r="H34" s="1"/>
      <c r="I34" s="1"/>
      <c r="J34" s="20" t="str">
        <f t="shared" si="1"/>
        <v/>
      </c>
      <c r="K34" s="25" t="str">
        <f t="array" ref="K34">IF(L34&lt;&gt;"", SUMPRODUCT(MID(N34:Y34,5,1)*1), "")</f>
        <v/>
      </c>
      <c r="L34" s="21"/>
      <c r="M34" s="25" t="str">
        <f t="array" ref="M34">IF(L34&lt;&gt;"", SUMPRODUCT(LEFT(N34:Y34,1)*1), "")</f>
        <v/>
      </c>
      <c r="N34" s="18"/>
      <c r="O34" s="18"/>
      <c r="P34" s="18"/>
      <c r="Q34" s="18"/>
      <c r="R34" s="18"/>
      <c r="S34" s="18"/>
      <c r="T34" s="18"/>
      <c r="U34" s="18"/>
      <c r="V34" s="18"/>
      <c r="W34" s="18"/>
      <c r="X34" s="18"/>
      <c r="Y34" s="18"/>
      <c r="AD34" s="5"/>
    </row>
    <row r="35">
      <c r="A35" s="20" t="str">
        <f t="shared" si="3"/>
        <v/>
      </c>
      <c r="B35" s="1"/>
      <c r="C35" s="1"/>
      <c r="D35" s="1"/>
      <c r="E35" s="1"/>
      <c r="F35" s="1"/>
      <c r="G35" s="1"/>
      <c r="H35" s="1"/>
      <c r="I35" s="1"/>
      <c r="J35" s="20" t="str">
        <f t="shared" si="1"/>
        <v/>
      </c>
      <c r="K35" s="25" t="str">
        <f t="array" ref="K35">IF(L35&lt;&gt;"", SUMPRODUCT(MID(N35:Y35,5,1)*1), "")</f>
        <v/>
      </c>
      <c r="L35" s="21"/>
      <c r="M35" s="25" t="str">
        <f t="array" ref="M35">IF(L35&lt;&gt;"", SUMPRODUCT(LEFT(N35:Y35,1)*1), "")</f>
        <v/>
      </c>
      <c r="N35" s="18"/>
      <c r="O35" s="18"/>
      <c r="P35" s="18"/>
      <c r="Q35" s="18"/>
      <c r="R35" s="18"/>
      <c r="S35" s="18"/>
      <c r="T35" s="18"/>
      <c r="U35" s="18"/>
      <c r="V35" s="18"/>
      <c r="W35" s="18"/>
      <c r="X35" s="18"/>
      <c r="Y35" s="18"/>
      <c r="AD35" s="5"/>
    </row>
    <row r="36">
      <c r="A36" s="20" t="str">
        <f t="shared" si="3"/>
        <v/>
      </c>
      <c r="B36" s="1"/>
      <c r="C36" s="1"/>
      <c r="D36" s="1"/>
      <c r="E36" s="1"/>
      <c r="F36" s="1"/>
      <c r="G36" s="1"/>
      <c r="H36" s="1"/>
      <c r="I36" s="1"/>
      <c r="J36" s="20" t="str">
        <f t="shared" si="1"/>
        <v/>
      </c>
      <c r="K36" s="25" t="str">
        <f t="array" ref="K36">IF(L36&lt;&gt;"", SUMPRODUCT(MID(N36:Y36,5,1)*1), "")</f>
        <v/>
      </c>
      <c r="L36" s="26"/>
      <c r="M36" s="25" t="str">
        <f t="array" ref="M36">IF(L36&lt;&gt;"", SUMPRODUCT(LEFT(N36:Y36,1)*1), "")</f>
        <v/>
      </c>
      <c r="N36" s="18"/>
      <c r="O36" s="18"/>
      <c r="P36" s="18"/>
      <c r="Q36" s="18"/>
      <c r="R36" s="18"/>
      <c r="S36" s="18"/>
      <c r="T36" s="18"/>
      <c r="U36" s="18"/>
      <c r="V36" s="18"/>
      <c r="W36" s="18"/>
      <c r="X36" s="18"/>
      <c r="Y36" s="18"/>
      <c r="AD36" s="5"/>
    </row>
    <row r="37">
      <c r="A37" s="20" t="str">
        <f t="shared" si="3"/>
        <v/>
      </c>
      <c r="B37" s="1"/>
      <c r="C37" s="1"/>
      <c r="D37" s="1"/>
      <c r="E37" s="1"/>
      <c r="F37" s="1"/>
      <c r="G37" s="1"/>
      <c r="H37" s="1"/>
      <c r="I37" s="1"/>
      <c r="J37" s="20" t="str">
        <f t="shared" si="1"/>
        <v/>
      </c>
      <c r="K37" s="25" t="str">
        <f t="array" ref="K37">IF(L37&lt;&gt;"", SUMPRODUCT(MID(N37:Y37,5,1)*1), "")</f>
        <v/>
      </c>
      <c r="L37" s="21"/>
      <c r="M37" s="25" t="str">
        <f t="array" ref="M37">IF(L37&lt;&gt;"", SUMPRODUCT(LEFT(N37:Y37,1)*1), "")</f>
        <v/>
      </c>
      <c r="N37" s="18"/>
      <c r="O37" s="18"/>
      <c r="P37" s="18"/>
      <c r="Q37" s="18"/>
      <c r="R37" s="18"/>
      <c r="S37" s="18"/>
      <c r="T37" s="18"/>
      <c r="U37" s="18"/>
      <c r="V37" s="18"/>
      <c r="W37" s="18"/>
      <c r="X37" s="18"/>
      <c r="Y37" s="18"/>
      <c r="AD37" s="5"/>
    </row>
    <row r="38">
      <c r="A38" s="20" t="str">
        <f t="shared" si="3"/>
        <v/>
      </c>
      <c r="B38" s="1"/>
      <c r="C38" s="1"/>
      <c r="D38" s="1"/>
      <c r="E38" s="1"/>
      <c r="F38" s="1"/>
      <c r="G38" s="1"/>
      <c r="H38" s="1"/>
      <c r="I38" s="1"/>
      <c r="J38" s="20" t="str">
        <f t="shared" si="1"/>
        <v/>
      </c>
      <c r="K38" s="25" t="str">
        <f t="array" ref="K38">IF(L38&lt;&gt;"", SUMPRODUCT(MID(N38:Y38,5,1)*1), "")</f>
        <v/>
      </c>
      <c r="L38" s="21"/>
      <c r="M38" s="25" t="str">
        <f t="array" ref="M38">IF(L38&lt;&gt;"", SUMPRODUCT(LEFT(N38:Y38,1)*1), "")</f>
        <v/>
      </c>
      <c r="N38" s="18"/>
      <c r="O38" s="18"/>
      <c r="P38" s="18"/>
      <c r="Q38" s="18"/>
      <c r="R38" s="18"/>
      <c r="S38" s="18"/>
      <c r="T38" s="18"/>
      <c r="U38" s="18"/>
      <c r="V38" s="18"/>
      <c r="W38" s="18"/>
      <c r="X38" s="18"/>
      <c r="Y38" s="18"/>
      <c r="AD38" s="5"/>
    </row>
    <row r="39">
      <c r="A39" s="20" t="str">
        <f t="shared" si="3"/>
        <v/>
      </c>
      <c r="B39" s="1"/>
      <c r="C39" s="1"/>
      <c r="D39" s="1"/>
      <c r="E39" s="1"/>
      <c r="F39" s="1"/>
      <c r="G39" s="1"/>
      <c r="H39" s="1"/>
      <c r="I39" s="1"/>
      <c r="J39" s="20" t="str">
        <f t="shared" si="1"/>
        <v/>
      </c>
      <c r="K39" s="25" t="str">
        <f t="array" ref="K39">IF(L39&lt;&gt;"", SUMPRODUCT(MID(N39:Y39,5,1)*1), "")</f>
        <v/>
      </c>
      <c r="L39" s="21"/>
      <c r="M39" s="25" t="str">
        <f t="array" ref="M39">IF(L39&lt;&gt;"", SUMPRODUCT(LEFT(N39:Y39,1)*1), "")</f>
        <v/>
      </c>
      <c r="N39" s="18"/>
      <c r="O39" s="18"/>
      <c r="P39" s="18"/>
      <c r="Q39" s="18"/>
      <c r="R39" s="18"/>
      <c r="S39" s="18"/>
      <c r="T39" s="18"/>
      <c r="U39" s="18"/>
      <c r="V39" s="18"/>
      <c r="W39" s="18"/>
      <c r="X39" s="18"/>
      <c r="Y39" s="18"/>
      <c r="AD39" s="5"/>
    </row>
    <row r="40">
      <c r="A40" s="20" t="str">
        <f t="shared" si="3"/>
        <v/>
      </c>
      <c r="B40" s="1"/>
      <c r="C40" s="1"/>
      <c r="D40" s="1"/>
      <c r="E40" s="1"/>
      <c r="F40" s="1"/>
      <c r="G40" s="1"/>
      <c r="H40" s="1"/>
      <c r="I40" s="1"/>
      <c r="J40" s="20" t="str">
        <f t="shared" si="1"/>
        <v/>
      </c>
      <c r="K40" s="25" t="str">
        <f t="array" ref="K40">IF(L40&lt;&gt;"", SUMPRODUCT(MID(N40:Y40,5,1)*1), "")</f>
        <v/>
      </c>
      <c r="L40" s="21"/>
      <c r="M40" s="25" t="str">
        <f t="array" ref="M40">IF(L40&lt;&gt;"", SUMPRODUCT(LEFT(N40:Y40,1)*1), "")</f>
        <v/>
      </c>
      <c r="N40" s="18"/>
      <c r="O40" s="18"/>
      <c r="P40" s="18"/>
      <c r="Q40" s="18"/>
      <c r="R40" s="18"/>
      <c r="S40" s="18"/>
      <c r="T40" s="18"/>
      <c r="U40" s="18"/>
      <c r="V40" s="18"/>
      <c r="W40" s="18"/>
      <c r="X40" s="18"/>
      <c r="Y40" s="18"/>
      <c r="AD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</row>
    <row r="44">
      <c r="A44" s="5"/>
      <c r="B44" s="4" t="s">
        <v>1</v>
      </c>
      <c r="C44" s="4" t="s">
        <v>2</v>
      </c>
      <c r="D44" s="4" t="s">
        <v>3</v>
      </c>
      <c r="E44" s="4" t="s">
        <v>4</v>
      </c>
      <c r="F44" s="4" t="s">
        <v>5</v>
      </c>
      <c r="G44" s="4" t="s">
        <v>6</v>
      </c>
      <c r="H44" s="4" t="s">
        <v>7</v>
      </c>
      <c r="I44" s="4" t="s">
        <v>8</v>
      </c>
      <c r="J44" s="4" t="s">
        <v>9</v>
      </c>
      <c r="K44" s="18" t="s">
        <v>31</v>
      </c>
      <c r="L44" s="33" t="s">
        <v>32</v>
      </c>
      <c r="M44" s="33" t="s">
        <v>33</v>
      </c>
      <c r="N44" s="18" t="s">
        <v>92</v>
      </c>
      <c r="O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</row>
    <row r="45">
      <c r="A45" s="5" t="s">
        <v>93</v>
      </c>
      <c r="B45" s="11">
        <v>1.0</v>
      </c>
      <c r="C45" s="11">
        <v>1.0</v>
      </c>
      <c r="D45" s="11">
        <v>1.0</v>
      </c>
      <c r="E45" s="11">
        <v>1.0</v>
      </c>
      <c r="F45" s="11">
        <v>1.0</v>
      </c>
      <c r="G45" s="11">
        <v>1.0</v>
      </c>
      <c r="H45" s="11">
        <v>0.0</v>
      </c>
      <c r="I45" s="11">
        <v>1.0</v>
      </c>
      <c r="J45" s="11">
        <v>1.0</v>
      </c>
      <c r="K45" s="11">
        <v>1.0</v>
      </c>
      <c r="L45" s="11">
        <v>1.0</v>
      </c>
      <c r="M45" s="11">
        <v>0.0</v>
      </c>
      <c r="N45" s="5"/>
      <c r="O45" s="34">
        <f t="shared" ref="O45:O48" si="4">SUM(A45:N45)</f>
        <v>10</v>
      </c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</row>
    <row r="46">
      <c r="A46" s="5" t="s">
        <v>72</v>
      </c>
      <c r="B46" s="11">
        <v>1.0</v>
      </c>
      <c r="C46" s="11">
        <v>1.0</v>
      </c>
      <c r="D46" s="11">
        <v>1.0</v>
      </c>
      <c r="E46" s="11">
        <v>1.0</v>
      </c>
      <c r="F46" s="11">
        <v>1.0</v>
      </c>
      <c r="G46" s="11">
        <v>1.0</v>
      </c>
      <c r="H46" s="11">
        <v>0.0</v>
      </c>
      <c r="I46" s="11">
        <v>1.0</v>
      </c>
      <c r="J46" s="11">
        <v>0.0</v>
      </c>
      <c r="K46" s="11">
        <v>0.0</v>
      </c>
      <c r="L46" s="11">
        <v>0.0</v>
      </c>
      <c r="M46" s="11">
        <v>0.0</v>
      </c>
      <c r="N46" s="5"/>
      <c r="O46" s="34">
        <f t="shared" si="4"/>
        <v>7</v>
      </c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</row>
    <row r="47">
      <c r="A47" s="5" t="s">
        <v>94</v>
      </c>
      <c r="B47" s="11">
        <v>0.0</v>
      </c>
      <c r="C47" s="11">
        <v>0.0</v>
      </c>
      <c r="D47" s="11">
        <v>0.0</v>
      </c>
      <c r="E47" s="11">
        <v>1.0</v>
      </c>
      <c r="F47" s="11">
        <v>0.0</v>
      </c>
      <c r="G47" s="11">
        <v>0.0</v>
      </c>
      <c r="H47" s="11">
        <v>0.0</v>
      </c>
      <c r="I47" s="11">
        <v>0.0</v>
      </c>
      <c r="J47" s="11">
        <v>0.0</v>
      </c>
      <c r="K47" s="11">
        <v>0.0</v>
      </c>
      <c r="L47" s="11">
        <v>0.0</v>
      </c>
      <c r="M47" s="11">
        <v>0.0</v>
      </c>
      <c r="N47" s="5"/>
      <c r="O47" s="34">
        <f t="shared" si="4"/>
        <v>1</v>
      </c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</row>
    <row r="48">
      <c r="A48" s="5" t="s">
        <v>95</v>
      </c>
      <c r="B48" s="11">
        <v>0.0</v>
      </c>
      <c r="C48" s="11">
        <v>0.0</v>
      </c>
      <c r="D48" s="11">
        <v>0.0</v>
      </c>
      <c r="E48" s="11">
        <v>0.0</v>
      </c>
      <c r="F48" s="11">
        <v>0.0</v>
      </c>
      <c r="G48" s="11">
        <v>0.0</v>
      </c>
      <c r="H48" s="11">
        <v>0.0</v>
      </c>
      <c r="I48" s="11">
        <v>0.0</v>
      </c>
      <c r="J48" s="11">
        <v>0.0</v>
      </c>
      <c r="K48" s="11">
        <v>0.0</v>
      </c>
      <c r="L48" s="11">
        <v>0.0</v>
      </c>
      <c r="M48" s="11">
        <v>0.0</v>
      </c>
      <c r="N48" s="5"/>
      <c r="O48" s="34">
        <f t="shared" si="4"/>
        <v>0</v>
      </c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</row>
    <row r="49">
      <c r="A49" s="5"/>
      <c r="B49" s="5" t="str">
        <f t="shared" ref="B49:N49" si="5">B45&amp;","&amp;B46&amp;","&amp;B47&amp;","&amp;B48</f>
        <v>1,1,0,0</v>
      </c>
      <c r="C49" s="5" t="str">
        <f t="shared" si="5"/>
        <v>1,1,0,0</v>
      </c>
      <c r="D49" s="5" t="str">
        <f t="shared" si="5"/>
        <v>1,1,0,0</v>
      </c>
      <c r="E49" s="5" t="str">
        <f t="shared" si="5"/>
        <v>1,1,1,0</v>
      </c>
      <c r="F49" s="5" t="str">
        <f t="shared" si="5"/>
        <v>1,1,0,0</v>
      </c>
      <c r="G49" s="5" t="str">
        <f t="shared" si="5"/>
        <v>1,1,0,0</v>
      </c>
      <c r="H49" s="5" t="str">
        <f t="shared" si="5"/>
        <v>0,0,0,0</v>
      </c>
      <c r="I49" s="5" t="str">
        <f t="shared" si="5"/>
        <v>1,1,0,0</v>
      </c>
      <c r="J49" s="5" t="str">
        <f t="shared" si="5"/>
        <v>1,0,0,0</v>
      </c>
      <c r="K49" s="5" t="str">
        <f t="shared" si="5"/>
        <v>1,0,0,0</v>
      </c>
      <c r="L49" s="5" t="str">
        <f t="shared" si="5"/>
        <v>1,0,0,0</v>
      </c>
      <c r="M49" s="5" t="str">
        <f t="shared" si="5"/>
        <v>0,0,0,0</v>
      </c>
      <c r="N49" s="5" t="str">
        <f t="shared" si="5"/>
        <v>,,,</v>
      </c>
      <c r="O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  <c r="AD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  <c r="AD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  <c r="AD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  <c r="AD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  <c r="AD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  <c r="AD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  <c r="AD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  <c r="AD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  <c r="AD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  <c r="AD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  <c r="AD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  <c r="AD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  <c r="AD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  <c r="AD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  <c r="AD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  <c r="AD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  <c r="AD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  <c r="AD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  <c r="AD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  <c r="AD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  <c r="AD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  <c r="AD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  <c r="AD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  <c r="AD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  <c r="AD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  <c r="AD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  <c r="AD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  <c r="AD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  <c r="AD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  <c r="AD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  <c r="AD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  <c r="AD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  <c r="AD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  <c r="AD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  <c r="AD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  <c r="AD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  <c r="AD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  <c r="AD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  <c r="AD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  <c r="AD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  <c r="AD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  <c r="AD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  <c r="AD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  <c r="AD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  <c r="AD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  <c r="AD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  <c r="AD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  <c r="AD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  <c r="AD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  <c r="AD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  <c r="AD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  <c r="AD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  <c r="AD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  <c r="AD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  <c r="AD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  <c r="AD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  <c r="AD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  <c r="AD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  <c r="AD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  <c r="AD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  <c r="AD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  <c r="AD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  <c r="AC296" s="5"/>
      <c r="AD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  <c r="AC297" s="5"/>
      <c r="AD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  <c r="AC298" s="5"/>
      <c r="AD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  <c r="AC299" s="5"/>
      <c r="AD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  <c r="AD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  <c r="AB303" s="5"/>
      <c r="AC303" s="5"/>
      <c r="AD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  <c r="AB304" s="5"/>
      <c r="AC304" s="5"/>
      <c r="AD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  <c r="AB305" s="5"/>
      <c r="AC305" s="5"/>
      <c r="AD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  <c r="AB306" s="5"/>
      <c r="AC306" s="5"/>
      <c r="AD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  <c r="AB307" s="5"/>
      <c r="AC307" s="5"/>
      <c r="AD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  <c r="AB308" s="5"/>
      <c r="AC308" s="5"/>
      <c r="AD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  <c r="AB309" s="5"/>
      <c r="AC309" s="5"/>
      <c r="AD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  <c r="AB310" s="5"/>
      <c r="AC310" s="5"/>
      <c r="AD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  <c r="AB311" s="5"/>
      <c r="AC311" s="5"/>
      <c r="AD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  <c r="AB312" s="5"/>
      <c r="AC312" s="5"/>
      <c r="AD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  <c r="AB313" s="5"/>
      <c r="AC313" s="5"/>
      <c r="AD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  <c r="AB314" s="5"/>
      <c r="AC314" s="5"/>
      <c r="AD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  <c r="AB315" s="5"/>
      <c r="AC315" s="5"/>
      <c r="AD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  <c r="AB316" s="5"/>
      <c r="AC316" s="5"/>
      <c r="AD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  <c r="AC317" s="5"/>
      <c r="AD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  <c r="AB318" s="5"/>
      <c r="AC318" s="5"/>
      <c r="AD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  <c r="AC319" s="5"/>
      <c r="AD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  <c r="AC320" s="5"/>
      <c r="AD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  <c r="AC321" s="5"/>
      <c r="AD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  <c r="AC322" s="5"/>
      <c r="AD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  <c r="AC323" s="5"/>
      <c r="AD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  <c r="AC324" s="5"/>
      <c r="AD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  <c r="AC325" s="5"/>
      <c r="AD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  <c r="AC326" s="5"/>
      <c r="AD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  <c r="AC327" s="5"/>
      <c r="AD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  <c r="AC328" s="5"/>
      <c r="AD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  <c r="AD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  <c r="AC330" s="5"/>
      <c r="AD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  <c r="AC331" s="5"/>
      <c r="AD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  <c r="AD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  <c r="AD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  <c r="AD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  <c r="AD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  <c r="AC336" s="5"/>
      <c r="AD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  <c r="AD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  <c r="AD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  <c r="AD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  <c r="AD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  <c r="AD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  <c r="AD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  <c r="AD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  <c r="AC344" s="5"/>
      <c r="AD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  <c r="AC345" s="5"/>
      <c r="AD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  <c r="AD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  <c r="AD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  <c r="AD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  <c r="AD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  <c r="AD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  <c r="AD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  <c r="AD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  <c r="AD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  <c r="AD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  <c r="AD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  <c r="AD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  <c r="AC357" s="5"/>
      <c r="AD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  <c r="AC358" s="5"/>
      <c r="AD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  <c r="AD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  <c r="AD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  <c r="AD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  <c r="AD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  <c r="AD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  <c r="AC364" s="5"/>
      <c r="AD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  <c r="AC365" s="5"/>
      <c r="AD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  <c r="AC366" s="5"/>
      <c r="AD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  <c r="AC367" s="5"/>
      <c r="AD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  <c r="AC368" s="5"/>
      <c r="AD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  <c r="AC369" s="5"/>
      <c r="AD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  <c r="AC370" s="5"/>
      <c r="AD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  <c r="AC371" s="5"/>
      <c r="AD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  <c r="AC372" s="5"/>
      <c r="AD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  <c r="AC373" s="5"/>
      <c r="AD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  <c r="AC374" s="5"/>
      <c r="AD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  <c r="AC375" s="5"/>
      <c r="AD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  <c r="AC376" s="5"/>
      <c r="AD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  <c r="AC377" s="5"/>
      <c r="AD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  <c r="AC378" s="5"/>
      <c r="AD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  <c r="AC379" s="5"/>
      <c r="AD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  <c r="AC380" s="5"/>
      <c r="AD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  <c r="AC381" s="5"/>
      <c r="AD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  <c r="AC382" s="5"/>
      <c r="AD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  <c r="AC383" s="5"/>
      <c r="AD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  <c r="AC384" s="5"/>
      <c r="AD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  <c r="AC385" s="5"/>
      <c r="AD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  <c r="AC386" s="5"/>
      <c r="AD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  <c r="AC387" s="5"/>
      <c r="AD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  <c r="AC388" s="5"/>
      <c r="AD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  <c r="AC389" s="5"/>
      <c r="AD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  <c r="AC390" s="5"/>
      <c r="AD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  <c r="AB391" s="5"/>
      <c r="AC391" s="5"/>
      <c r="AD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  <c r="AB392" s="5"/>
      <c r="AC392" s="5"/>
      <c r="AD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  <c r="AB393" s="5"/>
      <c r="AC393" s="5"/>
      <c r="AD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  <c r="AB394" s="5"/>
      <c r="AC394" s="5"/>
      <c r="AD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  <c r="AB395" s="5"/>
      <c r="AC395" s="5"/>
      <c r="AD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  <c r="AB396" s="5"/>
      <c r="AC396" s="5"/>
      <c r="AD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  <c r="AB397" s="5"/>
      <c r="AC397" s="5"/>
      <c r="AD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  <c r="AB398" s="5"/>
      <c r="AC398" s="5"/>
      <c r="AD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  <c r="AB399" s="5"/>
      <c r="AC399" s="5"/>
      <c r="AD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  <c r="AB400" s="5"/>
      <c r="AC400" s="5"/>
      <c r="AD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  <c r="AC401" s="5"/>
      <c r="AD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  <c r="AC402" s="5"/>
      <c r="AD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  <c r="AC403" s="5"/>
      <c r="AD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  <c r="AB404" s="5"/>
      <c r="AC404" s="5"/>
      <c r="AD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  <c r="AB405" s="5"/>
      <c r="AC405" s="5"/>
      <c r="AD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  <c r="AB406" s="5"/>
      <c r="AC406" s="5"/>
      <c r="AD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  <c r="AB407" s="5"/>
      <c r="AC407" s="5"/>
      <c r="AD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  <c r="AB408" s="5"/>
      <c r="AC408" s="5"/>
      <c r="AD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  <c r="AB409" s="5"/>
      <c r="AC409" s="5"/>
      <c r="AD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  <c r="AB410" s="5"/>
      <c r="AC410" s="5"/>
      <c r="AD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  <c r="AB411" s="5"/>
      <c r="AC411" s="5"/>
      <c r="AD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  <c r="AB412" s="5"/>
      <c r="AC412" s="5"/>
      <c r="AD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  <c r="AB413" s="5"/>
      <c r="AC413" s="5"/>
      <c r="AD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  <c r="AB414" s="5"/>
      <c r="AC414" s="5"/>
      <c r="AD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  <c r="AB415" s="5"/>
      <c r="AC415" s="5"/>
      <c r="AD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  <c r="AB416" s="5"/>
      <c r="AC416" s="5"/>
      <c r="AD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  <c r="AB417" s="5"/>
      <c r="AC417" s="5"/>
      <c r="AD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  <c r="AB418" s="5"/>
      <c r="AC418" s="5"/>
      <c r="AD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  <c r="AB419" s="5"/>
      <c r="AC419" s="5"/>
      <c r="AD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  <c r="AB420" s="5"/>
      <c r="AC420" s="5"/>
      <c r="AD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  <c r="AB421" s="5"/>
      <c r="AC421" s="5"/>
      <c r="AD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  <c r="AB422" s="5"/>
      <c r="AC422" s="5"/>
      <c r="AD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  <c r="AB423" s="5"/>
      <c r="AC423" s="5"/>
      <c r="AD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  <c r="AC424" s="5"/>
      <c r="AD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  <c r="AB425" s="5"/>
      <c r="AC425" s="5"/>
      <c r="AD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  <c r="AB426" s="5"/>
      <c r="AC426" s="5"/>
      <c r="AD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  <c r="AC427" s="5"/>
      <c r="AD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  <c r="AB428" s="5"/>
      <c r="AC428" s="5"/>
      <c r="AD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  <c r="AB429" s="5"/>
      <c r="AC429" s="5"/>
      <c r="AD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  <c r="AB430" s="5"/>
      <c r="AC430" s="5"/>
      <c r="AD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  <c r="AB431" s="5"/>
      <c r="AC431" s="5"/>
      <c r="AD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  <c r="AB432" s="5"/>
      <c r="AC432" s="5"/>
      <c r="AD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  <c r="AB433" s="5"/>
      <c r="AC433" s="5"/>
      <c r="AD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  <c r="AB434" s="5"/>
      <c r="AC434" s="5"/>
      <c r="AD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  <c r="AB435" s="5"/>
      <c r="AC435" s="5"/>
      <c r="AD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  <c r="AB436" s="5"/>
      <c r="AC436" s="5"/>
      <c r="AD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  <c r="AB437" s="5"/>
      <c r="AC437" s="5"/>
      <c r="AD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  <c r="AC438" s="5"/>
      <c r="AD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  <c r="AB439" s="5"/>
      <c r="AC439" s="5"/>
      <c r="AD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  <c r="AB440" s="5"/>
      <c r="AC440" s="5"/>
      <c r="AD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  <c r="AB441" s="5"/>
      <c r="AC441" s="5"/>
      <c r="AD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  <c r="AB442" s="5"/>
      <c r="AC442" s="5"/>
      <c r="AD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  <c r="AC443" s="5"/>
      <c r="AD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  <c r="AB444" s="5"/>
      <c r="AC444" s="5"/>
      <c r="AD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  <c r="AC445" s="5"/>
      <c r="AD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  <c r="AC446" s="5"/>
      <c r="AD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  <c r="AC447" s="5"/>
      <c r="AD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  <c r="AB448" s="5"/>
      <c r="AC448" s="5"/>
      <c r="AD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/>
      <c r="AC449" s="5"/>
      <c r="AD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  <c r="AB450" s="5"/>
      <c r="AC450" s="5"/>
      <c r="AD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  <c r="AB451" s="5"/>
      <c r="AC451" s="5"/>
      <c r="AD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  <c r="AB452" s="5"/>
      <c r="AC452" s="5"/>
      <c r="AD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  <c r="AB453" s="5"/>
      <c r="AC453" s="5"/>
      <c r="AD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  <c r="AB454" s="5"/>
      <c r="AC454" s="5"/>
      <c r="AD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  <c r="AB455" s="5"/>
      <c r="AC455" s="5"/>
      <c r="AD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  <c r="AB456" s="5"/>
      <c r="AC456" s="5"/>
      <c r="AD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  <c r="AB457" s="5"/>
      <c r="AC457" s="5"/>
      <c r="AD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  <c r="AC458" s="5"/>
      <c r="AD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  <c r="AB459" s="5"/>
      <c r="AC459" s="5"/>
      <c r="AD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  <c r="AB460" s="5"/>
      <c r="AC460" s="5"/>
      <c r="AD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  <c r="AC461" s="5"/>
      <c r="AD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  <c r="AB462" s="5"/>
      <c r="AC462" s="5"/>
      <c r="AD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  <c r="AC463" s="5"/>
      <c r="AD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  <c r="AC464" s="5"/>
      <c r="AD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  <c r="AC465" s="5"/>
      <c r="AD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  <c r="AC466" s="5"/>
      <c r="AD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  <c r="AC467" s="5"/>
      <c r="AD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  <c r="AC468" s="5"/>
      <c r="AD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  <c r="AC469" s="5"/>
      <c r="AD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  <c r="AB470" s="5"/>
      <c r="AC470" s="5"/>
      <c r="AD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  <c r="AB471" s="5"/>
      <c r="AC471" s="5"/>
      <c r="AD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  <c r="AB472" s="5"/>
      <c r="AC472" s="5"/>
      <c r="AD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  <c r="AB473" s="5"/>
      <c r="AC473" s="5"/>
      <c r="AD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  <c r="AB474" s="5"/>
      <c r="AC474" s="5"/>
      <c r="AD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  <c r="AB475" s="5"/>
      <c r="AC475" s="5"/>
      <c r="AD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  <c r="AB476" s="5"/>
      <c r="AC476" s="5"/>
      <c r="AD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  <c r="AB477" s="5"/>
      <c r="AC477" s="5"/>
      <c r="AD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  <c r="AB478" s="5"/>
      <c r="AC478" s="5"/>
      <c r="AD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  <c r="AB479" s="5"/>
      <c r="AC479" s="5"/>
      <c r="AD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  <c r="AC480" s="5"/>
      <c r="AD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  <c r="AC481" s="5"/>
      <c r="AD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  <c r="AB482" s="5"/>
      <c r="AC482" s="5"/>
      <c r="AD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  <c r="AB483" s="5"/>
      <c r="AC483" s="5"/>
      <c r="AD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  <c r="AB484" s="5"/>
      <c r="AC484" s="5"/>
      <c r="AD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  <c r="AB485" s="5"/>
      <c r="AC485" s="5"/>
      <c r="AD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  <c r="AB486" s="5"/>
      <c r="AC486" s="5"/>
      <c r="AD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  <c r="AB487" s="5"/>
      <c r="AC487" s="5"/>
      <c r="AD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  <c r="AB488" s="5"/>
      <c r="AC488" s="5"/>
      <c r="AD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  <c r="AB489" s="5"/>
      <c r="AC489" s="5"/>
      <c r="AD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  <c r="AB490" s="5"/>
      <c r="AC490" s="5"/>
      <c r="AD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  <c r="AB491" s="5"/>
      <c r="AC491" s="5"/>
      <c r="AD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  <c r="AB492" s="5"/>
      <c r="AC492" s="5"/>
      <c r="AD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  <c r="AB493" s="5"/>
      <c r="AC493" s="5"/>
      <c r="AD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  <c r="AB494" s="5"/>
      <c r="AC494" s="5"/>
      <c r="AD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  <c r="AB495" s="5"/>
      <c r="AC495" s="5"/>
      <c r="AD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  <c r="AB496" s="5"/>
      <c r="AC496" s="5"/>
      <c r="AD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  <c r="AB497" s="5"/>
      <c r="AC497" s="5"/>
      <c r="AD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  <c r="AB498" s="5"/>
      <c r="AC498" s="5"/>
      <c r="AD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  <c r="AB499" s="5"/>
      <c r="AC499" s="5"/>
      <c r="AD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  <c r="AA500" s="5"/>
      <c r="AB500" s="5"/>
      <c r="AC500" s="5"/>
      <c r="AD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  <c r="AA501" s="5"/>
      <c r="AB501" s="5"/>
      <c r="AC501" s="5"/>
      <c r="AD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  <c r="AA502" s="5"/>
      <c r="AB502" s="5"/>
      <c r="AC502" s="5"/>
      <c r="AD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  <c r="AA503" s="5"/>
      <c r="AB503" s="5"/>
      <c r="AC503" s="5"/>
      <c r="AD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  <c r="AA504" s="5"/>
      <c r="AB504" s="5"/>
      <c r="AC504" s="5"/>
      <c r="AD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  <c r="AA505" s="5"/>
      <c r="AB505" s="5"/>
      <c r="AC505" s="5"/>
      <c r="AD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  <c r="AA506" s="5"/>
      <c r="AB506" s="5"/>
      <c r="AC506" s="5"/>
      <c r="AD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  <c r="AA507" s="5"/>
      <c r="AB507" s="5"/>
      <c r="AC507" s="5"/>
      <c r="AD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  <c r="AA508" s="5"/>
      <c r="AB508" s="5"/>
      <c r="AC508" s="5"/>
      <c r="AD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  <c r="AA509" s="5"/>
      <c r="AB509" s="5"/>
      <c r="AC509" s="5"/>
      <c r="AD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  <c r="AA510" s="5"/>
      <c r="AB510" s="5"/>
      <c r="AC510" s="5"/>
      <c r="AD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  <c r="AA511" s="5"/>
      <c r="AB511" s="5"/>
      <c r="AC511" s="5"/>
      <c r="AD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  <c r="AA512" s="5"/>
      <c r="AB512" s="5"/>
      <c r="AC512" s="5"/>
      <c r="AD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  <c r="AA513" s="5"/>
      <c r="AB513" s="5"/>
      <c r="AC513" s="5"/>
      <c r="AD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  <c r="AA514" s="5"/>
      <c r="AB514" s="5"/>
      <c r="AC514" s="5"/>
      <c r="AD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  <c r="AA515" s="5"/>
      <c r="AB515" s="5"/>
      <c r="AC515" s="5"/>
      <c r="AD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  <c r="AA516" s="5"/>
      <c r="AB516" s="5"/>
      <c r="AC516" s="5"/>
      <c r="AD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  <c r="AA517" s="5"/>
      <c r="AB517" s="5"/>
      <c r="AC517" s="5"/>
      <c r="AD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  <c r="AA518" s="5"/>
      <c r="AB518" s="5"/>
      <c r="AC518" s="5"/>
      <c r="AD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  <c r="AA519" s="5"/>
      <c r="AB519" s="5"/>
      <c r="AC519" s="5"/>
      <c r="AD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  <c r="AA520" s="5"/>
      <c r="AB520" s="5"/>
      <c r="AC520" s="5"/>
      <c r="AD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  <c r="AA521" s="5"/>
      <c r="AB521" s="5"/>
      <c r="AC521" s="5"/>
      <c r="AD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  <c r="AA522" s="5"/>
      <c r="AB522" s="5"/>
      <c r="AC522" s="5"/>
      <c r="AD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  <c r="AA523" s="5"/>
      <c r="AB523" s="5"/>
      <c r="AC523" s="5"/>
      <c r="AD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  <c r="AA524" s="5"/>
      <c r="AB524" s="5"/>
      <c r="AC524" s="5"/>
      <c r="AD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  <c r="AA525" s="5"/>
      <c r="AB525" s="5"/>
      <c r="AC525" s="5"/>
      <c r="AD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  <c r="AA526" s="5"/>
      <c r="AB526" s="5"/>
      <c r="AC526" s="5"/>
      <c r="AD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  <c r="AA527" s="5"/>
      <c r="AB527" s="5"/>
      <c r="AC527" s="5"/>
      <c r="AD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  <c r="AA528" s="5"/>
      <c r="AB528" s="5"/>
      <c r="AC528" s="5"/>
      <c r="AD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  <c r="AA529" s="5"/>
      <c r="AB529" s="5"/>
      <c r="AC529" s="5"/>
      <c r="AD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  <c r="AA530" s="5"/>
      <c r="AB530" s="5"/>
      <c r="AC530" s="5"/>
      <c r="AD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  <c r="AA531" s="5"/>
      <c r="AB531" s="5"/>
      <c r="AC531" s="5"/>
      <c r="AD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  <c r="AA532" s="5"/>
      <c r="AB532" s="5"/>
      <c r="AC532" s="5"/>
      <c r="AD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  <c r="AA533" s="5"/>
      <c r="AB533" s="5"/>
      <c r="AC533" s="5"/>
      <c r="AD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  <c r="AA534" s="5"/>
      <c r="AB534" s="5"/>
      <c r="AC534" s="5"/>
      <c r="AD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  <c r="AA535" s="5"/>
      <c r="AB535" s="5"/>
      <c r="AC535" s="5"/>
      <c r="AD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  <c r="AA536" s="5"/>
      <c r="AB536" s="5"/>
      <c r="AC536" s="5"/>
      <c r="AD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  <c r="AA537" s="5"/>
      <c r="AB537" s="5"/>
      <c r="AC537" s="5"/>
      <c r="AD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  <c r="AA538" s="5"/>
      <c r="AB538" s="5"/>
      <c r="AC538" s="5"/>
      <c r="AD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  <c r="AA539" s="5"/>
      <c r="AB539" s="5"/>
      <c r="AC539" s="5"/>
      <c r="AD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  <c r="AA540" s="5"/>
      <c r="AB540" s="5"/>
      <c r="AC540" s="5"/>
      <c r="AD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  <c r="AA541" s="5"/>
      <c r="AB541" s="5"/>
      <c r="AC541" s="5"/>
      <c r="AD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  <c r="AA542" s="5"/>
      <c r="AB542" s="5"/>
      <c r="AC542" s="5"/>
      <c r="AD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  <c r="AA543" s="5"/>
      <c r="AB543" s="5"/>
      <c r="AC543" s="5"/>
      <c r="AD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  <c r="AA544" s="5"/>
      <c r="AB544" s="5"/>
      <c r="AC544" s="5"/>
      <c r="AD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  <c r="AA545" s="5"/>
      <c r="AB545" s="5"/>
      <c r="AC545" s="5"/>
      <c r="AD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  <c r="AA546" s="5"/>
      <c r="AB546" s="5"/>
      <c r="AC546" s="5"/>
      <c r="AD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  <c r="AA547" s="5"/>
      <c r="AB547" s="5"/>
      <c r="AC547" s="5"/>
      <c r="AD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  <c r="AA548" s="5"/>
      <c r="AB548" s="5"/>
      <c r="AC548" s="5"/>
      <c r="AD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  <c r="AA549" s="5"/>
      <c r="AB549" s="5"/>
      <c r="AC549" s="5"/>
      <c r="AD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  <c r="AA550" s="5"/>
      <c r="AB550" s="5"/>
      <c r="AC550" s="5"/>
      <c r="AD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  <c r="AA551" s="5"/>
      <c r="AB551" s="5"/>
      <c r="AC551" s="5"/>
      <c r="AD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  <c r="AA552" s="5"/>
      <c r="AB552" s="5"/>
      <c r="AC552" s="5"/>
      <c r="AD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  <c r="AA553" s="5"/>
      <c r="AB553" s="5"/>
      <c r="AC553" s="5"/>
      <c r="AD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  <c r="AA554" s="5"/>
      <c r="AB554" s="5"/>
      <c r="AC554" s="5"/>
      <c r="AD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  <c r="AA555" s="5"/>
      <c r="AB555" s="5"/>
      <c r="AC555" s="5"/>
      <c r="AD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  <c r="AA556" s="5"/>
      <c r="AB556" s="5"/>
      <c r="AC556" s="5"/>
      <c r="AD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  <c r="AA557" s="5"/>
      <c r="AB557" s="5"/>
      <c r="AC557" s="5"/>
      <c r="AD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  <c r="AA558" s="5"/>
      <c r="AB558" s="5"/>
      <c r="AC558" s="5"/>
      <c r="AD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  <c r="AA559" s="5"/>
      <c r="AB559" s="5"/>
      <c r="AC559" s="5"/>
      <c r="AD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  <c r="AA560" s="5"/>
      <c r="AB560" s="5"/>
      <c r="AC560" s="5"/>
      <c r="AD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  <c r="AA561" s="5"/>
      <c r="AB561" s="5"/>
      <c r="AC561" s="5"/>
      <c r="AD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  <c r="AA562" s="5"/>
      <c r="AB562" s="5"/>
      <c r="AC562" s="5"/>
      <c r="AD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  <c r="AA563" s="5"/>
      <c r="AB563" s="5"/>
      <c r="AC563" s="5"/>
      <c r="AD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  <c r="AA564" s="5"/>
      <c r="AB564" s="5"/>
      <c r="AC564" s="5"/>
      <c r="AD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  <c r="AA565" s="5"/>
      <c r="AB565" s="5"/>
      <c r="AC565" s="5"/>
      <c r="AD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  <c r="AA566" s="5"/>
      <c r="AB566" s="5"/>
      <c r="AC566" s="5"/>
      <c r="AD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  <c r="AA567" s="5"/>
      <c r="AB567" s="5"/>
      <c r="AC567" s="5"/>
      <c r="AD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  <c r="AA568" s="5"/>
      <c r="AB568" s="5"/>
      <c r="AC568" s="5"/>
      <c r="AD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  <c r="AA569" s="5"/>
      <c r="AB569" s="5"/>
      <c r="AC569" s="5"/>
      <c r="AD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  <c r="AA570" s="5"/>
      <c r="AB570" s="5"/>
      <c r="AC570" s="5"/>
      <c r="AD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  <c r="AA571" s="5"/>
      <c r="AB571" s="5"/>
      <c r="AC571" s="5"/>
      <c r="AD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  <c r="AA572" s="5"/>
      <c r="AB572" s="5"/>
      <c r="AC572" s="5"/>
      <c r="AD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  <c r="AA573" s="5"/>
      <c r="AB573" s="5"/>
      <c r="AC573" s="5"/>
      <c r="AD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  <c r="AA574" s="5"/>
      <c r="AB574" s="5"/>
      <c r="AC574" s="5"/>
      <c r="AD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  <c r="AA575" s="5"/>
      <c r="AB575" s="5"/>
      <c r="AC575" s="5"/>
      <c r="AD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  <c r="AA576" s="5"/>
      <c r="AB576" s="5"/>
      <c r="AC576" s="5"/>
      <c r="AD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  <c r="AA577" s="5"/>
      <c r="AB577" s="5"/>
      <c r="AC577" s="5"/>
      <c r="AD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  <c r="AA578" s="5"/>
      <c r="AB578" s="5"/>
      <c r="AC578" s="5"/>
      <c r="AD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  <c r="AA579" s="5"/>
      <c r="AB579" s="5"/>
      <c r="AC579" s="5"/>
      <c r="AD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  <c r="AA580" s="5"/>
      <c r="AB580" s="5"/>
      <c r="AC580" s="5"/>
      <c r="AD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  <c r="AA581" s="5"/>
      <c r="AB581" s="5"/>
      <c r="AC581" s="5"/>
      <c r="AD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  <c r="AA582" s="5"/>
      <c r="AB582" s="5"/>
      <c r="AC582" s="5"/>
      <c r="AD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  <c r="AA583" s="5"/>
      <c r="AB583" s="5"/>
      <c r="AC583" s="5"/>
      <c r="AD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  <c r="AA584" s="5"/>
      <c r="AB584" s="5"/>
      <c r="AC584" s="5"/>
      <c r="AD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  <c r="AA585" s="5"/>
      <c r="AB585" s="5"/>
      <c r="AC585" s="5"/>
      <c r="AD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  <c r="AA586" s="5"/>
      <c r="AB586" s="5"/>
      <c r="AC586" s="5"/>
      <c r="AD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  <c r="AA587" s="5"/>
      <c r="AB587" s="5"/>
      <c r="AC587" s="5"/>
      <c r="AD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  <c r="AA588" s="5"/>
      <c r="AB588" s="5"/>
      <c r="AC588" s="5"/>
      <c r="AD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  <c r="AA589" s="5"/>
      <c r="AB589" s="5"/>
      <c r="AC589" s="5"/>
      <c r="AD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  <c r="AA590" s="5"/>
      <c r="AB590" s="5"/>
      <c r="AC590" s="5"/>
      <c r="AD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  <c r="AA591" s="5"/>
      <c r="AB591" s="5"/>
      <c r="AC591" s="5"/>
      <c r="AD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  <c r="AA592" s="5"/>
      <c r="AB592" s="5"/>
      <c r="AC592" s="5"/>
      <c r="AD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  <c r="AA593" s="5"/>
      <c r="AB593" s="5"/>
      <c r="AC593" s="5"/>
      <c r="AD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  <c r="AA594" s="5"/>
      <c r="AB594" s="5"/>
      <c r="AC594" s="5"/>
      <c r="AD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  <c r="AA595" s="5"/>
      <c r="AB595" s="5"/>
      <c r="AC595" s="5"/>
      <c r="AD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  <c r="AA596" s="5"/>
      <c r="AB596" s="5"/>
      <c r="AC596" s="5"/>
      <c r="AD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  <c r="AA597" s="5"/>
      <c r="AB597" s="5"/>
      <c r="AC597" s="5"/>
      <c r="AD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  <c r="AA598" s="5"/>
      <c r="AB598" s="5"/>
      <c r="AC598" s="5"/>
      <c r="AD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  <c r="AA599" s="5"/>
      <c r="AB599" s="5"/>
      <c r="AC599" s="5"/>
      <c r="AD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  <c r="AA600" s="5"/>
      <c r="AB600" s="5"/>
      <c r="AC600" s="5"/>
      <c r="AD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  <c r="AA601" s="5"/>
      <c r="AB601" s="5"/>
      <c r="AC601" s="5"/>
      <c r="AD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  <c r="AA602" s="5"/>
      <c r="AB602" s="5"/>
      <c r="AC602" s="5"/>
      <c r="AD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  <c r="AA603" s="5"/>
      <c r="AB603" s="5"/>
      <c r="AC603" s="5"/>
      <c r="AD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  <c r="AA604" s="5"/>
      <c r="AB604" s="5"/>
      <c r="AC604" s="5"/>
      <c r="AD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  <c r="AA605" s="5"/>
      <c r="AB605" s="5"/>
      <c r="AC605" s="5"/>
      <c r="AD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  <c r="AA606" s="5"/>
      <c r="AB606" s="5"/>
      <c r="AC606" s="5"/>
      <c r="AD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  <c r="AA607" s="5"/>
      <c r="AB607" s="5"/>
      <c r="AC607" s="5"/>
      <c r="AD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  <c r="AA608" s="5"/>
      <c r="AB608" s="5"/>
      <c r="AC608" s="5"/>
      <c r="AD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  <c r="AA609" s="5"/>
      <c r="AB609" s="5"/>
      <c r="AC609" s="5"/>
      <c r="AD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  <c r="AA610" s="5"/>
      <c r="AB610" s="5"/>
      <c r="AC610" s="5"/>
      <c r="AD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  <c r="AA611" s="5"/>
      <c r="AB611" s="5"/>
      <c r="AC611" s="5"/>
      <c r="AD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  <c r="AA612" s="5"/>
      <c r="AB612" s="5"/>
      <c r="AC612" s="5"/>
      <c r="AD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  <c r="AA613" s="5"/>
      <c r="AB613" s="5"/>
      <c r="AC613" s="5"/>
      <c r="AD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  <c r="AA614" s="5"/>
      <c r="AB614" s="5"/>
      <c r="AC614" s="5"/>
      <c r="AD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  <c r="AA615" s="5"/>
      <c r="AB615" s="5"/>
      <c r="AC615" s="5"/>
      <c r="AD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  <c r="AA616" s="5"/>
      <c r="AB616" s="5"/>
      <c r="AC616" s="5"/>
      <c r="AD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  <c r="AA617" s="5"/>
      <c r="AB617" s="5"/>
      <c r="AC617" s="5"/>
      <c r="AD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  <c r="AA618" s="5"/>
      <c r="AB618" s="5"/>
      <c r="AC618" s="5"/>
      <c r="AD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  <c r="AA619" s="5"/>
      <c r="AB619" s="5"/>
      <c r="AC619" s="5"/>
      <c r="AD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  <c r="AA620" s="5"/>
      <c r="AB620" s="5"/>
      <c r="AC620" s="5"/>
      <c r="AD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  <c r="AA621" s="5"/>
      <c r="AB621" s="5"/>
      <c r="AC621" s="5"/>
      <c r="AD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  <c r="AA622" s="5"/>
      <c r="AB622" s="5"/>
      <c r="AC622" s="5"/>
      <c r="AD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  <c r="AA623" s="5"/>
      <c r="AB623" s="5"/>
      <c r="AC623" s="5"/>
      <c r="AD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  <c r="AA624" s="5"/>
      <c r="AB624" s="5"/>
      <c r="AC624" s="5"/>
      <c r="AD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  <c r="AA625" s="5"/>
      <c r="AB625" s="5"/>
      <c r="AC625" s="5"/>
      <c r="AD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  <c r="AA626" s="5"/>
      <c r="AB626" s="5"/>
      <c r="AC626" s="5"/>
      <c r="AD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  <c r="AA627" s="5"/>
      <c r="AB627" s="5"/>
      <c r="AC627" s="5"/>
      <c r="AD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  <c r="AA628" s="5"/>
      <c r="AB628" s="5"/>
      <c r="AC628" s="5"/>
      <c r="AD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  <c r="AA629" s="5"/>
      <c r="AB629" s="5"/>
      <c r="AC629" s="5"/>
      <c r="AD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  <c r="AA630" s="5"/>
      <c r="AB630" s="5"/>
      <c r="AC630" s="5"/>
      <c r="AD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  <c r="AA631" s="5"/>
      <c r="AB631" s="5"/>
      <c r="AC631" s="5"/>
      <c r="AD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  <c r="AA632" s="5"/>
      <c r="AB632" s="5"/>
      <c r="AC632" s="5"/>
      <c r="AD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  <c r="AA633" s="5"/>
      <c r="AB633" s="5"/>
      <c r="AC633" s="5"/>
      <c r="AD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  <c r="AA634" s="5"/>
      <c r="AB634" s="5"/>
      <c r="AC634" s="5"/>
      <c r="AD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  <c r="AA635" s="5"/>
      <c r="AB635" s="5"/>
      <c r="AC635" s="5"/>
      <c r="AD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  <c r="AA636" s="5"/>
      <c r="AB636" s="5"/>
      <c r="AC636" s="5"/>
      <c r="AD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  <c r="AA637" s="5"/>
      <c r="AB637" s="5"/>
      <c r="AC637" s="5"/>
      <c r="AD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  <c r="AA638" s="5"/>
      <c r="AB638" s="5"/>
      <c r="AC638" s="5"/>
      <c r="AD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  <c r="AA639" s="5"/>
      <c r="AB639" s="5"/>
      <c r="AC639" s="5"/>
      <c r="AD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  <c r="AA640" s="5"/>
      <c r="AB640" s="5"/>
      <c r="AC640" s="5"/>
      <c r="AD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  <c r="AA641" s="5"/>
      <c r="AB641" s="5"/>
      <c r="AC641" s="5"/>
      <c r="AD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  <c r="AA642" s="5"/>
      <c r="AB642" s="5"/>
      <c r="AC642" s="5"/>
      <c r="AD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  <c r="AA643" s="5"/>
      <c r="AB643" s="5"/>
      <c r="AC643" s="5"/>
      <c r="AD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  <c r="AA644" s="5"/>
      <c r="AB644" s="5"/>
      <c r="AC644" s="5"/>
      <c r="AD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  <c r="AA645" s="5"/>
      <c r="AB645" s="5"/>
      <c r="AC645" s="5"/>
      <c r="AD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  <c r="AA646" s="5"/>
      <c r="AB646" s="5"/>
      <c r="AC646" s="5"/>
      <c r="AD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  <c r="AA647" s="5"/>
      <c r="AB647" s="5"/>
      <c r="AC647" s="5"/>
      <c r="AD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  <c r="AA648" s="5"/>
      <c r="AB648" s="5"/>
      <c r="AC648" s="5"/>
      <c r="AD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  <c r="AA649" s="5"/>
      <c r="AB649" s="5"/>
      <c r="AC649" s="5"/>
      <c r="AD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  <c r="AA650" s="5"/>
      <c r="AB650" s="5"/>
      <c r="AC650" s="5"/>
      <c r="AD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  <c r="AA651" s="5"/>
      <c r="AB651" s="5"/>
      <c r="AC651" s="5"/>
      <c r="AD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  <c r="AA652" s="5"/>
      <c r="AB652" s="5"/>
      <c r="AC652" s="5"/>
      <c r="AD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  <c r="AA653" s="5"/>
      <c r="AB653" s="5"/>
      <c r="AC653" s="5"/>
      <c r="AD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  <c r="AA654" s="5"/>
      <c r="AB654" s="5"/>
      <c r="AC654" s="5"/>
      <c r="AD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  <c r="AA655" s="5"/>
      <c r="AB655" s="5"/>
      <c r="AC655" s="5"/>
      <c r="AD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  <c r="AA656" s="5"/>
      <c r="AB656" s="5"/>
      <c r="AC656" s="5"/>
      <c r="AD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  <c r="AA657" s="5"/>
      <c r="AB657" s="5"/>
      <c r="AC657" s="5"/>
      <c r="AD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  <c r="AA658" s="5"/>
      <c r="AB658" s="5"/>
      <c r="AC658" s="5"/>
      <c r="AD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  <c r="AA659" s="5"/>
      <c r="AB659" s="5"/>
      <c r="AC659" s="5"/>
      <c r="AD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  <c r="AA660" s="5"/>
      <c r="AB660" s="5"/>
      <c r="AC660" s="5"/>
      <c r="AD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  <c r="AA661" s="5"/>
      <c r="AB661" s="5"/>
      <c r="AC661" s="5"/>
      <c r="AD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  <c r="AA662" s="5"/>
      <c r="AB662" s="5"/>
      <c r="AC662" s="5"/>
      <c r="AD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  <c r="AA663" s="5"/>
      <c r="AB663" s="5"/>
      <c r="AC663" s="5"/>
      <c r="AD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  <c r="AA664" s="5"/>
      <c r="AB664" s="5"/>
      <c r="AC664" s="5"/>
      <c r="AD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  <c r="AA665" s="5"/>
      <c r="AB665" s="5"/>
      <c r="AC665" s="5"/>
      <c r="AD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  <c r="AA666" s="5"/>
      <c r="AB666" s="5"/>
      <c r="AC666" s="5"/>
      <c r="AD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  <c r="AA667" s="5"/>
      <c r="AB667" s="5"/>
      <c r="AC667" s="5"/>
      <c r="AD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  <c r="AA668" s="5"/>
      <c r="AB668" s="5"/>
      <c r="AC668" s="5"/>
      <c r="AD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  <c r="AA669" s="5"/>
      <c r="AB669" s="5"/>
      <c r="AC669" s="5"/>
      <c r="AD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  <c r="AA670" s="5"/>
      <c r="AB670" s="5"/>
      <c r="AC670" s="5"/>
      <c r="AD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  <c r="AA671" s="5"/>
      <c r="AB671" s="5"/>
      <c r="AC671" s="5"/>
      <c r="AD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  <c r="AA672" s="5"/>
      <c r="AB672" s="5"/>
      <c r="AC672" s="5"/>
      <c r="AD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  <c r="AA673" s="5"/>
      <c r="AB673" s="5"/>
      <c r="AC673" s="5"/>
      <c r="AD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  <c r="AA674" s="5"/>
      <c r="AB674" s="5"/>
      <c r="AC674" s="5"/>
      <c r="AD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  <c r="AA675" s="5"/>
      <c r="AB675" s="5"/>
      <c r="AC675" s="5"/>
      <c r="AD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  <c r="AA676" s="5"/>
      <c r="AB676" s="5"/>
      <c r="AC676" s="5"/>
      <c r="AD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  <c r="AA677" s="5"/>
      <c r="AB677" s="5"/>
      <c r="AC677" s="5"/>
      <c r="AD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  <c r="AA678" s="5"/>
      <c r="AB678" s="5"/>
      <c r="AC678" s="5"/>
      <c r="AD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  <c r="AA679" s="5"/>
      <c r="AB679" s="5"/>
      <c r="AC679" s="5"/>
      <c r="AD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  <c r="AA680" s="5"/>
      <c r="AB680" s="5"/>
      <c r="AC680" s="5"/>
      <c r="AD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  <c r="AA681" s="5"/>
      <c r="AB681" s="5"/>
      <c r="AC681" s="5"/>
      <c r="AD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  <c r="AA682" s="5"/>
      <c r="AB682" s="5"/>
      <c r="AC682" s="5"/>
      <c r="AD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  <c r="AA683" s="5"/>
      <c r="AB683" s="5"/>
      <c r="AC683" s="5"/>
      <c r="AD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  <c r="AA684" s="5"/>
      <c r="AB684" s="5"/>
      <c r="AC684" s="5"/>
      <c r="AD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  <c r="AA685" s="5"/>
      <c r="AB685" s="5"/>
      <c r="AC685" s="5"/>
      <c r="AD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  <c r="AA686" s="5"/>
      <c r="AB686" s="5"/>
      <c r="AC686" s="5"/>
      <c r="AD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  <c r="AA687" s="5"/>
      <c r="AB687" s="5"/>
      <c r="AC687" s="5"/>
      <c r="AD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  <c r="AA688" s="5"/>
      <c r="AB688" s="5"/>
      <c r="AC688" s="5"/>
      <c r="AD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  <c r="AA689" s="5"/>
      <c r="AB689" s="5"/>
      <c r="AC689" s="5"/>
      <c r="AD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  <c r="AA690" s="5"/>
      <c r="AB690" s="5"/>
      <c r="AC690" s="5"/>
      <c r="AD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  <c r="AA691" s="5"/>
      <c r="AB691" s="5"/>
      <c r="AC691" s="5"/>
      <c r="AD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  <c r="AA692" s="5"/>
      <c r="AB692" s="5"/>
      <c r="AC692" s="5"/>
      <c r="AD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  <c r="AA693" s="5"/>
      <c r="AB693" s="5"/>
      <c r="AC693" s="5"/>
      <c r="AD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  <c r="AA694" s="5"/>
      <c r="AB694" s="5"/>
      <c r="AC694" s="5"/>
      <c r="AD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  <c r="AA695" s="5"/>
      <c r="AB695" s="5"/>
      <c r="AC695" s="5"/>
      <c r="AD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  <c r="AA696" s="5"/>
      <c r="AB696" s="5"/>
      <c r="AC696" s="5"/>
      <c r="AD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  <c r="AA697" s="5"/>
      <c r="AB697" s="5"/>
      <c r="AC697" s="5"/>
      <c r="AD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  <c r="AA698" s="5"/>
      <c r="AB698" s="5"/>
      <c r="AC698" s="5"/>
      <c r="AD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  <c r="AA699" s="5"/>
      <c r="AB699" s="5"/>
      <c r="AC699" s="5"/>
      <c r="AD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  <c r="AA700" s="5"/>
      <c r="AB700" s="5"/>
      <c r="AC700" s="5"/>
      <c r="AD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  <c r="AA701" s="5"/>
      <c r="AB701" s="5"/>
      <c r="AC701" s="5"/>
      <c r="AD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  <c r="AA702" s="5"/>
      <c r="AB702" s="5"/>
      <c r="AC702" s="5"/>
      <c r="AD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  <c r="AA703" s="5"/>
      <c r="AB703" s="5"/>
      <c r="AC703" s="5"/>
      <c r="AD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  <c r="AA704" s="5"/>
      <c r="AB704" s="5"/>
      <c r="AC704" s="5"/>
      <c r="AD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  <c r="AA705" s="5"/>
      <c r="AB705" s="5"/>
      <c r="AC705" s="5"/>
      <c r="AD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  <c r="AA706" s="5"/>
      <c r="AB706" s="5"/>
      <c r="AC706" s="5"/>
      <c r="AD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  <c r="AA707" s="5"/>
      <c r="AB707" s="5"/>
      <c r="AC707" s="5"/>
      <c r="AD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  <c r="AA708" s="5"/>
      <c r="AB708" s="5"/>
      <c r="AC708" s="5"/>
      <c r="AD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  <c r="AA709" s="5"/>
      <c r="AB709" s="5"/>
      <c r="AC709" s="5"/>
      <c r="AD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  <c r="AA710" s="5"/>
      <c r="AB710" s="5"/>
      <c r="AC710" s="5"/>
      <c r="AD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  <c r="AA711" s="5"/>
      <c r="AB711" s="5"/>
      <c r="AC711" s="5"/>
      <c r="AD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  <c r="AA712" s="5"/>
      <c r="AB712" s="5"/>
      <c r="AC712" s="5"/>
      <c r="AD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  <c r="AA713" s="5"/>
      <c r="AB713" s="5"/>
      <c r="AC713" s="5"/>
      <c r="AD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  <c r="AA714" s="5"/>
      <c r="AB714" s="5"/>
      <c r="AC714" s="5"/>
      <c r="AD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  <c r="AA715" s="5"/>
      <c r="AB715" s="5"/>
      <c r="AC715" s="5"/>
      <c r="AD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  <c r="AA716" s="5"/>
      <c r="AB716" s="5"/>
      <c r="AC716" s="5"/>
      <c r="AD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  <c r="AA717" s="5"/>
      <c r="AB717" s="5"/>
      <c r="AC717" s="5"/>
      <c r="AD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  <c r="AA718" s="5"/>
      <c r="AB718" s="5"/>
      <c r="AC718" s="5"/>
      <c r="AD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  <c r="AA719" s="5"/>
      <c r="AB719" s="5"/>
      <c r="AC719" s="5"/>
      <c r="AD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  <c r="AA720" s="5"/>
      <c r="AB720" s="5"/>
      <c r="AC720" s="5"/>
      <c r="AD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  <c r="AA721" s="5"/>
      <c r="AB721" s="5"/>
      <c r="AC721" s="5"/>
      <c r="AD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  <c r="AA722" s="5"/>
      <c r="AB722" s="5"/>
      <c r="AC722" s="5"/>
      <c r="AD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  <c r="AA723" s="5"/>
      <c r="AB723" s="5"/>
      <c r="AC723" s="5"/>
      <c r="AD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  <c r="AA724" s="5"/>
      <c r="AB724" s="5"/>
      <c r="AC724" s="5"/>
      <c r="AD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  <c r="AA725" s="5"/>
      <c r="AB725" s="5"/>
      <c r="AC725" s="5"/>
      <c r="AD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  <c r="AA726" s="5"/>
      <c r="AB726" s="5"/>
      <c r="AC726" s="5"/>
      <c r="AD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  <c r="AA727" s="5"/>
      <c r="AB727" s="5"/>
      <c r="AC727" s="5"/>
      <c r="AD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  <c r="AA728" s="5"/>
      <c r="AB728" s="5"/>
      <c r="AC728" s="5"/>
      <c r="AD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  <c r="AA729" s="5"/>
      <c r="AB729" s="5"/>
      <c r="AC729" s="5"/>
      <c r="AD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  <c r="AA730" s="5"/>
      <c r="AB730" s="5"/>
      <c r="AC730" s="5"/>
      <c r="AD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  <c r="AA731" s="5"/>
      <c r="AB731" s="5"/>
      <c r="AC731" s="5"/>
      <c r="AD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  <c r="AA732" s="5"/>
      <c r="AB732" s="5"/>
      <c r="AC732" s="5"/>
      <c r="AD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  <c r="AA733" s="5"/>
      <c r="AB733" s="5"/>
      <c r="AC733" s="5"/>
      <c r="AD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  <c r="AA734" s="5"/>
      <c r="AB734" s="5"/>
      <c r="AC734" s="5"/>
      <c r="AD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  <c r="AA735" s="5"/>
      <c r="AB735" s="5"/>
      <c r="AC735" s="5"/>
      <c r="AD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  <c r="AA736" s="5"/>
      <c r="AB736" s="5"/>
      <c r="AC736" s="5"/>
      <c r="AD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  <c r="AA737" s="5"/>
      <c r="AB737" s="5"/>
      <c r="AC737" s="5"/>
      <c r="AD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  <c r="AA738" s="5"/>
      <c r="AB738" s="5"/>
      <c r="AC738" s="5"/>
      <c r="AD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  <c r="AA739" s="5"/>
      <c r="AB739" s="5"/>
      <c r="AC739" s="5"/>
      <c r="AD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  <c r="AA740" s="5"/>
      <c r="AB740" s="5"/>
      <c r="AC740" s="5"/>
      <c r="AD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  <c r="AA741" s="5"/>
      <c r="AB741" s="5"/>
      <c r="AC741" s="5"/>
      <c r="AD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  <c r="AA742" s="5"/>
      <c r="AB742" s="5"/>
      <c r="AC742" s="5"/>
      <c r="AD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  <c r="AA743" s="5"/>
      <c r="AB743" s="5"/>
      <c r="AC743" s="5"/>
      <c r="AD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  <c r="AA744" s="5"/>
      <c r="AB744" s="5"/>
      <c r="AC744" s="5"/>
      <c r="AD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  <c r="AA745" s="5"/>
      <c r="AB745" s="5"/>
      <c r="AC745" s="5"/>
      <c r="AD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  <c r="AA746" s="5"/>
      <c r="AB746" s="5"/>
      <c r="AC746" s="5"/>
      <c r="AD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  <c r="AA747" s="5"/>
      <c r="AB747" s="5"/>
      <c r="AC747" s="5"/>
      <c r="AD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  <c r="AA748" s="5"/>
      <c r="AB748" s="5"/>
      <c r="AC748" s="5"/>
      <c r="AD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  <c r="AA749" s="5"/>
      <c r="AB749" s="5"/>
      <c r="AC749" s="5"/>
      <c r="AD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  <c r="AA750" s="5"/>
      <c r="AB750" s="5"/>
      <c r="AC750" s="5"/>
      <c r="AD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  <c r="AA751" s="5"/>
      <c r="AB751" s="5"/>
      <c r="AC751" s="5"/>
      <c r="AD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  <c r="AA752" s="5"/>
      <c r="AB752" s="5"/>
      <c r="AC752" s="5"/>
      <c r="AD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  <c r="AA753" s="5"/>
      <c r="AB753" s="5"/>
      <c r="AC753" s="5"/>
      <c r="AD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  <c r="AA754" s="5"/>
      <c r="AB754" s="5"/>
      <c r="AC754" s="5"/>
      <c r="AD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  <c r="AA755" s="5"/>
      <c r="AB755" s="5"/>
      <c r="AC755" s="5"/>
      <c r="AD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  <c r="AA756" s="5"/>
      <c r="AB756" s="5"/>
      <c r="AC756" s="5"/>
      <c r="AD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  <c r="AA757" s="5"/>
      <c r="AB757" s="5"/>
      <c r="AC757" s="5"/>
      <c r="AD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  <c r="AA758" s="5"/>
      <c r="AB758" s="5"/>
      <c r="AC758" s="5"/>
      <c r="AD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  <c r="AA759" s="5"/>
      <c r="AB759" s="5"/>
      <c r="AC759" s="5"/>
      <c r="AD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  <c r="AA760" s="5"/>
      <c r="AB760" s="5"/>
      <c r="AC760" s="5"/>
      <c r="AD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  <c r="AA761" s="5"/>
      <c r="AB761" s="5"/>
      <c r="AC761" s="5"/>
      <c r="AD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  <c r="AA762" s="5"/>
      <c r="AB762" s="5"/>
      <c r="AC762" s="5"/>
      <c r="AD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  <c r="AA763" s="5"/>
      <c r="AB763" s="5"/>
      <c r="AC763" s="5"/>
      <c r="AD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  <c r="AA764" s="5"/>
      <c r="AB764" s="5"/>
      <c r="AC764" s="5"/>
      <c r="AD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  <c r="AA765" s="5"/>
      <c r="AB765" s="5"/>
      <c r="AC765" s="5"/>
      <c r="AD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  <c r="AA766" s="5"/>
      <c r="AB766" s="5"/>
      <c r="AC766" s="5"/>
      <c r="AD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  <c r="AA767" s="5"/>
      <c r="AB767" s="5"/>
      <c r="AC767" s="5"/>
      <c r="AD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  <c r="AA768" s="5"/>
      <c r="AB768" s="5"/>
      <c r="AC768" s="5"/>
      <c r="AD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  <c r="AA769" s="5"/>
      <c r="AB769" s="5"/>
      <c r="AC769" s="5"/>
      <c r="AD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  <c r="AA770" s="5"/>
      <c r="AB770" s="5"/>
      <c r="AC770" s="5"/>
      <c r="AD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  <c r="AA771" s="5"/>
      <c r="AB771" s="5"/>
      <c r="AC771" s="5"/>
      <c r="AD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  <c r="AA772" s="5"/>
      <c r="AB772" s="5"/>
      <c r="AC772" s="5"/>
      <c r="AD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  <c r="AA773" s="5"/>
      <c r="AB773" s="5"/>
      <c r="AC773" s="5"/>
      <c r="AD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  <c r="AA774" s="5"/>
      <c r="AB774" s="5"/>
      <c r="AC774" s="5"/>
      <c r="AD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  <c r="AA775" s="5"/>
      <c r="AB775" s="5"/>
      <c r="AC775" s="5"/>
      <c r="AD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  <c r="AA776" s="5"/>
      <c r="AB776" s="5"/>
      <c r="AC776" s="5"/>
      <c r="AD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  <c r="AA777" s="5"/>
      <c r="AB777" s="5"/>
      <c r="AC777" s="5"/>
      <c r="AD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  <c r="AA778" s="5"/>
      <c r="AB778" s="5"/>
      <c r="AC778" s="5"/>
      <c r="AD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  <c r="AA779" s="5"/>
      <c r="AB779" s="5"/>
      <c r="AC779" s="5"/>
      <c r="AD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  <c r="AA780" s="5"/>
      <c r="AB780" s="5"/>
      <c r="AC780" s="5"/>
      <c r="AD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  <c r="AA781" s="5"/>
      <c r="AB781" s="5"/>
      <c r="AC781" s="5"/>
      <c r="AD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  <c r="AA782" s="5"/>
      <c r="AB782" s="5"/>
      <c r="AC782" s="5"/>
      <c r="AD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  <c r="AA783" s="5"/>
      <c r="AB783" s="5"/>
      <c r="AC783" s="5"/>
      <c r="AD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  <c r="AA784" s="5"/>
      <c r="AB784" s="5"/>
      <c r="AC784" s="5"/>
      <c r="AD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  <c r="AA785" s="5"/>
      <c r="AB785" s="5"/>
      <c r="AC785" s="5"/>
      <c r="AD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  <c r="AA786" s="5"/>
      <c r="AB786" s="5"/>
      <c r="AC786" s="5"/>
      <c r="AD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  <c r="AA787" s="5"/>
      <c r="AB787" s="5"/>
      <c r="AC787" s="5"/>
      <c r="AD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  <c r="AA788" s="5"/>
      <c r="AB788" s="5"/>
      <c r="AC788" s="5"/>
      <c r="AD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  <c r="AA789" s="5"/>
      <c r="AB789" s="5"/>
      <c r="AC789" s="5"/>
      <c r="AD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  <c r="AA790" s="5"/>
      <c r="AB790" s="5"/>
      <c r="AC790" s="5"/>
      <c r="AD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  <c r="AA791" s="5"/>
      <c r="AB791" s="5"/>
      <c r="AC791" s="5"/>
      <c r="AD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  <c r="AA792" s="5"/>
      <c r="AB792" s="5"/>
      <c r="AC792" s="5"/>
      <c r="AD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  <c r="AA793" s="5"/>
      <c r="AB793" s="5"/>
      <c r="AC793" s="5"/>
      <c r="AD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  <c r="AA794" s="5"/>
      <c r="AB794" s="5"/>
      <c r="AC794" s="5"/>
      <c r="AD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  <c r="AA795" s="5"/>
      <c r="AB795" s="5"/>
      <c r="AC795" s="5"/>
      <c r="AD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  <c r="AA796" s="5"/>
      <c r="AB796" s="5"/>
      <c r="AC796" s="5"/>
      <c r="AD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  <c r="AA797" s="5"/>
      <c r="AB797" s="5"/>
      <c r="AC797" s="5"/>
      <c r="AD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  <c r="AA798" s="5"/>
      <c r="AB798" s="5"/>
      <c r="AC798" s="5"/>
      <c r="AD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  <c r="AA799" s="5"/>
      <c r="AB799" s="5"/>
      <c r="AC799" s="5"/>
      <c r="AD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  <c r="AA800" s="5"/>
      <c r="AB800" s="5"/>
      <c r="AC800" s="5"/>
      <c r="AD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  <c r="AA801" s="5"/>
      <c r="AB801" s="5"/>
      <c r="AC801" s="5"/>
      <c r="AD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  <c r="AA802" s="5"/>
      <c r="AB802" s="5"/>
      <c r="AC802" s="5"/>
      <c r="AD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  <c r="AA803" s="5"/>
      <c r="AB803" s="5"/>
      <c r="AC803" s="5"/>
      <c r="AD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  <c r="AA804" s="5"/>
      <c r="AB804" s="5"/>
      <c r="AC804" s="5"/>
      <c r="AD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  <c r="AA805" s="5"/>
      <c r="AB805" s="5"/>
      <c r="AC805" s="5"/>
      <c r="AD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  <c r="AA806" s="5"/>
      <c r="AB806" s="5"/>
      <c r="AC806" s="5"/>
      <c r="AD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  <c r="AA807" s="5"/>
      <c r="AB807" s="5"/>
      <c r="AC807" s="5"/>
      <c r="AD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  <c r="AA808" s="5"/>
      <c r="AB808" s="5"/>
      <c r="AC808" s="5"/>
      <c r="AD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  <c r="AA809" s="5"/>
      <c r="AB809" s="5"/>
      <c r="AC809" s="5"/>
      <c r="AD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  <c r="AA810" s="5"/>
      <c r="AB810" s="5"/>
      <c r="AC810" s="5"/>
      <c r="AD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  <c r="AA811" s="5"/>
      <c r="AB811" s="5"/>
      <c r="AC811" s="5"/>
      <c r="AD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  <c r="AA812" s="5"/>
      <c r="AB812" s="5"/>
      <c r="AC812" s="5"/>
      <c r="AD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  <c r="AA813" s="5"/>
      <c r="AB813" s="5"/>
      <c r="AC813" s="5"/>
      <c r="AD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  <c r="AA814" s="5"/>
      <c r="AB814" s="5"/>
      <c r="AC814" s="5"/>
      <c r="AD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  <c r="AA815" s="5"/>
      <c r="AB815" s="5"/>
      <c r="AC815" s="5"/>
      <c r="AD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  <c r="AA816" s="5"/>
      <c r="AB816" s="5"/>
      <c r="AC816" s="5"/>
      <c r="AD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  <c r="AA817" s="5"/>
      <c r="AB817" s="5"/>
      <c r="AC817" s="5"/>
      <c r="AD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  <c r="AA818" s="5"/>
      <c r="AB818" s="5"/>
      <c r="AC818" s="5"/>
      <c r="AD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  <c r="AA819" s="5"/>
      <c r="AB819" s="5"/>
      <c r="AC819" s="5"/>
      <c r="AD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  <c r="AA820" s="5"/>
      <c r="AB820" s="5"/>
      <c r="AC820" s="5"/>
      <c r="AD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  <c r="AA821" s="5"/>
      <c r="AB821" s="5"/>
      <c r="AC821" s="5"/>
      <c r="AD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  <c r="AA822" s="5"/>
      <c r="AB822" s="5"/>
      <c r="AC822" s="5"/>
      <c r="AD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  <c r="AA823" s="5"/>
      <c r="AB823" s="5"/>
      <c r="AC823" s="5"/>
      <c r="AD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  <c r="AA824" s="5"/>
      <c r="AB824" s="5"/>
      <c r="AC824" s="5"/>
      <c r="AD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  <c r="AA825" s="5"/>
      <c r="AB825" s="5"/>
      <c r="AC825" s="5"/>
      <c r="AD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  <c r="AA826" s="5"/>
      <c r="AB826" s="5"/>
      <c r="AC826" s="5"/>
      <c r="AD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  <c r="AA827" s="5"/>
      <c r="AB827" s="5"/>
      <c r="AC827" s="5"/>
      <c r="AD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  <c r="AA828" s="5"/>
      <c r="AB828" s="5"/>
      <c r="AC828" s="5"/>
      <c r="AD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  <c r="AA829" s="5"/>
      <c r="AB829" s="5"/>
      <c r="AC829" s="5"/>
      <c r="AD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  <c r="AA830" s="5"/>
      <c r="AB830" s="5"/>
      <c r="AC830" s="5"/>
      <c r="AD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  <c r="AA831" s="5"/>
      <c r="AB831" s="5"/>
      <c r="AC831" s="5"/>
      <c r="AD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  <c r="AA832" s="5"/>
      <c r="AB832" s="5"/>
      <c r="AC832" s="5"/>
      <c r="AD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  <c r="AA833" s="5"/>
      <c r="AB833" s="5"/>
      <c r="AC833" s="5"/>
      <c r="AD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  <c r="AA834" s="5"/>
      <c r="AB834" s="5"/>
      <c r="AC834" s="5"/>
      <c r="AD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  <c r="AA835" s="5"/>
      <c r="AB835" s="5"/>
      <c r="AC835" s="5"/>
      <c r="AD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  <c r="AA836" s="5"/>
      <c r="AB836" s="5"/>
      <c r="AC836" s="5"/>
      <c r="AD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  <c r="AA837" s="5"/>
      <c r="AB837" s="5"/>
      <c r="AC837" s="5"/>
      <c r="AD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  <c r="AA838" s="5"/>
      <c r="AB838" s="5"/>
      <c r="AC838" s="5"/>
      <c r="AD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  <c r="AA839" s="5"/>
      <c r="AB839" s="5"/>
      <c r="AC839" s="5"/>
      <c r="AD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  <c r="AA840" s="5"/>
      <c r="AB840" s="5"/>
      <c r="AC840" s="5"/>
      <c r="AD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  <c r="AA841" s="5"/>
      <c r="AB841" s="5"/>
      <c r="AC841" s="5"/>
      <c r="AD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  <c r="AA842" s="5"/>
      <c r="AB842" s="5"/>
      <c r="AC842" s="5"/>
      <c r="AD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  <c r="AA843" s="5"/>
      <c r="AB843" s="5"/>
      <c r="AC843" s="5"/>
      <c r="AD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  <c r="AA844" s="5"/>
      <c r="AB844" s="5"/>
      <c r="AC844" s="5"/>
      <c r="AD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  <c r="AA845" s="5"/>
      <c r="AB845" s="5"/>
      <c r="AC845" s="5"/>
      <c r="AD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  <c r="AA846" s="5"/>
      <c r="AB846" s="5"/>
      <c r="AC846" s="5"/>
      <c r="AD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  <c r="AA847" s="5"/>
      <c r="AB847" s="5"/>
      <c r="AC847" s="5"/>
      <c r="AD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  <c r="AA848" s="5"/>
      <c r="AB848" s="5"/>
      <c r="AC848" s="5"/>
      <c r="AD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  <c r="AA849" s="5"/>
      <c r="AB849" s="5"/>
      <c r="AC849" s="5"/>
      <c r="AD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  <c r="AA850" s="5"/>
      <c r="AB850" s="5"/>
      <c r="AC850" s="5"/>
      <c r="AD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  <c r="AA851" s="5"/>
      <c r="AB851" s="5"/>
      <c r="AC851" s="5"/>
      <c r="AD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  <c r="AA852" s="5"/>
      <c r="AB852" s="5"/>
      <c r="AC852" s="5"/>
      <c r="AD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  <c r="AA853" s="5"/>
      <c r="AB853" s="5"/>
      <c r="AC853" s="5"/>
      <c r="AD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  <c r="AA854" s="5"/>
      <c r="AB854" s="5"/>
      <c r="AC854" s="5"/>
      <c r="AD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  <c r="AA855" s="5"/>
      <c r="AB855" s="5"/>
      <c r="AC855" s="5"/>
      <c r="AD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  <c r="AA856" s="5"/>
      <c r="AB856" s="5"/>
      <c r="AC856" s="5"/>
      <c r="AD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  <c r="AA857" s="5"/>
      <c r="AB857" s="5"/>
      <c r="AC857" s="5"/>
      <c r="AD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  <c r="AA858" s="5"/>
      <c r="AB858" s="5"/>
      <c r="AC858" s="5"/>
      <c r="AD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  <c r="AA859" s="5"/>
      <c r="AB859" s="5"/>
      <c r="AC859" s="5"/>
      <c r="AD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  <c r="AA860" s="5"/>
      <c r="AB860" s="5"/>
      <c r="AC860" s="5"/>
      <c r="AD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  <c r="AA861" s="5"/>
      <c r="AB861" s="5"/>
      <c r="AC861" s="5"/>
      <c r="AD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  <c r="AA862" s="5"/>
      <c r="AB862" s="5"/>
      <c r="AC862" s="5"/>
      <c r="AD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  <c r="AA863" s="5"/>
      <c r="AB863" s="5"/>
      <c r="AC863" s="5"/>
      <c r="AD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  <c r="AA864" s="5"/>
      <c r="AB864" s="5"/>
      <c r="AC864" s="5"/>
      <c r="AD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  <c r="AA865" s="5"/>
      <c r="AB865" s="5"/>
      <c r="AC865" s="5"/>
      <c r="AD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  <c r="AA866" s="5"/>
      <c r="AB866" s="5"/>
      <c r="AC866" s="5"/>
      <c r="AD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  <c r="AA867" s="5"/>
      <c r="AB867" s="5"/>
      <c r="AC867" s="5"/>
      <c r="AD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  <c r="AA868" s="5"/>
      <c r="AB868" s="5"/>
      <c r="AC868" s="5"/>
      <c r="AD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  <c r="AA869" s="5"/>
      <c r="AB869" s="5"/>
      <c r="AC869" s="5"/>
      <c r="AD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  <c r="AA870" s="5"/>
      <c r="AB870" s="5"/>
      <c r="AC870" s="5"/>
      <c r="AD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  <c r="AA871" s="5"/>
      <c r="AB871" s="5"/>
      <c r="AC871" s="5"/>
      <c r="AD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  <c r="AA872" s="5"/>
      <c r="AB872" s="5"/>
      <c r="AC872" s="5"/>
      <c r="AD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  <c r="AA873" s="5"/>
      <c r="AB873" s="5"/>
      <c r="AC873" s="5"/>
      <c r="AD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  <c r="AA874" s="5"/>
      <c r="AB874" s="5"/>
      <c r="AC874" s="5"/>
      <c r="AD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  <c r="AA875" s="5"/>
      <c r="AB875" s="5"/>
      <c r="AC875" s="5"/>
      <c r="AD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  <c r="AA876" s="5"/>
      <c r="AB876" s="5"/>
      <c r="AC876" s="5"/>
      <c r="AD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  <c r="AA877" s="5"/>
      <c r="AB877" s="5"/>
      <c r="AC877" s="5"/>
      <c r="AD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  <c r="AA878" s="5"/>
      <c r="AB878" s="5"/>
      <c r="AC878" s="5"/>
      <c r="AD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  <c r="AA879" s="5"/>
      <c r="AB879" s="5"/>
      <c r="AC879" s="5"/>
      <c r="AD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  <c r="AA880" s="5"/>
      <c r="AB880" s="5"/>
      <c r="AC880" s="5"/>
      <c r="AD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  <c r="AA881" s="5"/>
      <c r="AB881" s="5"/>
      <c r="AC881" s="5"/>
      <c r="AD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  <c r="AA882" s="5"/>
      <c r="AB882" s="5"/>
      <c r="AC882" s="5"/>
      <c r="AD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  <c r="AA883" s="5"/>
      <c r="AB883" s="5"/>
      <c r="AC883" s="5"/>
      <c r="AD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  <c r="AA884" s="5"/>
      <c r="AB884" s="5"/>
      <c r="AC884" s="5"/>
      <c r="AD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  <c r="AA885" s="5"/>
      <c r="AB885" s="5"/>
      <c r="AC885" s="5"/>
      <c r="AD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  <c r="AA886" s="5"/>
      <c r="AB886" s="5"/>
      <c r="AC886" s="5"/>
      <c r="AD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  <c r="AA887" s="5"/>
      <c r="AB887" s="5"/>
      <c r="AC887" s="5"/>
      <c r="AD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  <c r="AA888" s="5"/>
      <c r="AB888" s="5"/>
      <c r="AC888" s="5"/>
      <c r="AD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  <c r="AA889" s="5"/>
      <c r="AB889" s="5"/>
      <c r="AC889" s="5"/>
      <c r="AD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  <c r="AA890" s="5"/>
      <c r="AB890" s="5"/>
      <c r="AC890" s="5"/>
      <c r="AD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  <c r="AA891" s="5"/>
      <c r="AB891" s="5"/>
      <c r="AC891" s="5"/>
      <c r="AD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  <c r="AA892" s="5"/>
      <c r="AB892" s="5"/>
      <c r="AC892" s="5"/>
      <c r="AD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  <c r="AA893" s="5"/>
      <c r="AB893" s="5"/>
      <c r="AC893" s="5"/>
      <c r="AD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  <c r="AA894" s="5"/>
      <c r="AB894" s="5"/>
      <c r="AC894" s="5"/>
      <c r="AD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  <c r="AA895" s="5"/>
      <c r="AB895" s="5"/>
      <c r="AC895" s="5"/>
      <c r="AD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  <c r="AA896" s="5"/>
      <c r="AB896" s="5"/>
      <c r="AC896" s="5"/>
      <c r="AD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  <c r="AA897" s="5"/>
      <c r="AB897" s="5"/>
      <c r="AC897" s="5"/>
      <c r="AD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  <c r="AA898" s="5"/>
      <c r="AB898" s="5"/>
      <c r="AC898" s="5"/>
      <c r="AD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  <c r="AA899" s="5"/>
      <c r="AB899" s="5"/>
      <c r="AC899" s="5"/>
      <c r="AD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  <c r="AA900" s="5"/>
      <c r="AB900" s="5"/>
      <c r="AC900" s="5"/>
      <c r="AD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  <c r="AA901" s="5"/>
      <c r="AB901" s="5"/>
      <c r="AC901" s="5"/>
      <c r="AD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  <c r="AA902" s="5"/>
      <c r="AB902" s="5"/>
      <c r="AC902" s="5"/>
      <c r="AD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  <c r="AA903" s="5"/>
      <c r="AB903" s="5"/>
      <c r="AC903" s="5"/>
      <c r="AD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  <c r="AA904" s="5"/>
      <c r="AB904" s="5"/>
      <c r="AC904" s="5"/>
      <c r="AD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  <c r="AA905" s="5"/>
      <c r="AB905" s="5"/>
      <c r="AC905" s="5"/>
      <c r="AD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  <c r="AA906" s="5"/>
      <c r="AB906" s="5"/>
      <c r="AC906" s="5"/>
      <c r="AD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  <c r="AA907" s="5"/>
      <c r="AB907" s="5"/>
      <c r="AC907" s="5"/>
      <c r="AD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  <c r="AA908" s="5"/>
      <c r="AB908" s="5"/>
      <c r="AC908" s="5"/>
      <c r="AD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  <c r="AA909" s="5"/>
      <c r="AB909" s="5"/>
      <c r="AC909" s="5"/>
      <c r="AD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  <c r="AA910" s="5"/>
      <c r="AB910" s="5"/>
      <c r="AC910" s="5"/>
      <c r="AD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  <c r="AA911" s="5"/>
      <c r="AB911" s="5"/>
      <c r="AC911" s="5"/>
      <c r="AD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  <c r="AA912" s="5"/>
      <c r="AB912" s="5"/>
      <c r="AC912" s="5"/>
      <c r="AD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  <c r="AA913" s="5"/>
      <c r="AB913" s="5"/>
      <c r="AC913" s="5"/>
      <c r="AD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  <c r="AA914" s="5"/>
      <c r="AB914" s="5"/>
      <c r="AC914" s="5"/>
      <c r="AD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  <c r="AA915" s="5"/>
      <c r="AB915" s="5"/>
      <c r="AC915" s="5"/>
      <c r="AD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  <c r="AA916" s="5"/>
      <c r="AB916" s="5"/>
      <c r="AC916" s="5"/>
      <c r="AD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  <c r="AA917" s="5"/>
      <c r="AB917" s="5"/>
      <c r="AC917" s="5"/>
      <c r="AD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  <c r="AA918" s="5"/>
      <c r="AB918" s="5"/>
      <c r="AC918" s="5"/>
      <c r="AD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  <c r="AA919" s="5"/>
      <c r="AB919" s="5"/>
      <c r="AC919" s="5"/>
      <c r="AD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  <c r="AA920" s="5"/>
      <c r="AB920" s="5"/>
      <c r="AC920" s="5"/>
      <c r="AD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  <c r="AA921" s="5"/>
      <c r="AB921" s="5"/>
      <c r="AC921" s="5"/>
      <c r="AD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  <c r="AA922" s="5"/>
      <c r="AB922" s="5"/>
      <c r="AC922" s="5"/>
      <c r="AD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  <c r="AA923" s="5"/>
      <c r="AB923" s="5"/>
      <c r="AC923" s="5"/>
      <c r="AD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  <c r="AA924" s="5"/>
      <c r="AB924" s="5"/>
      <c r="AC924" s="5"/>
      <c r="AD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  <c r="AA925" s="5"/>
      <c r="AB925" s="5"/>
      <c r="AC925" s="5"/>
      <c r="AD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  <c r="AA926" s="5"/>
      <c r="AB926" s="5"/>
      <c r="AC926" s="5"/>
      <c r="AD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  <c r="AA927" s="5"/>
      <c r="AB927" s="5"/>
      <c r="AC927" s="5"/>
      <c r="AD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  <c r="AA928" s="5"/>
      <c r="AB928" s="5"/>
      <c r="AC928" s="5"/>
      <c r="AD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  <c r="AA929" s="5"/>
      <c r="AB929" s="5"/>
      <c r="AC929" s="5"/>
      <c r="AD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  <c r="AA930" s="5"/>
      <c r="AB930" s="5"/>
      <c r="AC930" s="5"/>
      <c r="AD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  <c r="AA931" s="5"/>
      <c r="AB931" s="5"/>
      <c r="AC931" s="5"/>
      <c r="AD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  <c r="AA932" s="5"/>
      <c r="AB932" s="5"/>
      <c r="AC932" s="5"/>
      <c r="AD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  <c r="AA933" s="5"/>
      <c r="AB933" s="5"/>
      <c r="AC933" s="5"/>
      <c r="AD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  <c r="AA934" s="5"/>
      <c r="AB934" s="5"/>
      <c r="AC934" s="5"/>
      <c r="AD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  <c r="AA935" s="5"/>
      <c r="AB935" s="5"/>
      <c r="AC935" s="5"/>
      <c r="AD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  <c r="AA936" s="5"/>
      <c r="AB936" s="5"/>
      <c r="AC936" s="5"/>
      <c r="AD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  <c r="AA937" s="5"/>
      <c r="AB937" s="5"/>
      <c r="AC937" s="5"/>
      <c r="AD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  <c r="AA938" s="5"/>
      <c r="AB938" s="5"/>
      <c r="AC938" s="5"/>
      <c r="AD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  <c r="AA939" s="5"/>
      <c r="AB939" s="5"/>
      <c r="AC939" s="5"/>
      <c r="AD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  <c r="AA940" s="5"/>
      <c r="AB940" s="5"/>
      <c r="AC940" s="5"/>
      <c r="AD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  <c r="AA941" s="5"/>
      <c r="AB941" s="5"/>
      <c r="AC941" s="5"/>
      <c r="AD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  <c r="AA942" s="5"/>
      <c r="AB942" s="5"/>
      <c r="AC942" s="5"/>
      <c r="AD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  <c r="AA943" s="5"/>
      <c r="AB943" s="5"/>
      <c r="AC943" s="5"/>
      <c r="AD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  <c r="AA944" s="5"/>
      <c r="AB944" s="5"/>
      <c r="AC944" s="5"/>
      <c r="AD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  <c r="AA945" s="5"/>
      <c r="AB945" s="5"/>
      <c r="AC945" s="5"/>
      <c r="AD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  <c r="AA946" s="5"/>
      <c r="AB946" s="5"/>
      <c r="AC946" s="5"/>
      <c r="AD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  <c r="AA947" s="5"/>
      <c r="AB947" s="5"/>
      <c r="AC947" s="5"/>
      <c r="AD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  <c r="AA948" s="5"/>
      <c r="AB948" s="5"/>
      <c r="AC948" s="5"/>
      <c r="AD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  <c r="AA949" s="5"/>
      <c r="AB949" s="5"/>
      <c r="AC949" s="5"/>
      <c r="AD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  <c r="AA950" s="5"/>
      <c r="AB950" s="5"/>
      <c r="AC950" s="5"/>
      <c r="AD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  <c r="AA951" s="5"/>
      <c r="AB951" s="5"/>
      <c r="AC951" s="5"/>
      <c r="AD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  <c r="AA952" s="5"/>
      <c r="AB952" s="5"/>
      <c r="AC952" s="5"/>
      <c r="AD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  <c r="AA953" s="5"/>
      <c r="AB953" s="5"/>
      <c r="AC953" s="5"/>
      <c r="AD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  <c r="AA954" s="5"/>
      <c r="AB954" s="5"/>
      <c r="AC954" s="5"/>
      <c r="AD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  <c r="AA955" s="5"/>
      <c r="AB955" s="5"/>
      <c r="AC955" s="5"/>
      <c r="AD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  <c r="AA956" s="5"/>
      <c r="AB956" s="5"/>
      <c r="AC956" s="5"/>
      <c r="AD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  <c r="AA957" s="5"/>
      <c r="AB957" s="5"/>
      <c r="AC957" s="5"/>
      <c r="AD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  <c r="AA958" s="5"/>
      <c r="AB958" s="5"/>
      <c r="AC958" s="5"/>
      <c r="AD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  <c r="AA959" s="5"/>
      <c r="AB959" s="5"/>
      <c r="AC959" s="5"/>
      <c r="AD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  <c r="AA960" s="5"/>
      <c r="AB960" s="5"/>
      <c r="AC960" s="5"/>
      <c r="AD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  <c r="AA961" s="5"/>
      <c r="AB961" s="5"/>
      <c r="AC961" s="5"/>
      <c r="AD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  <c r="AA962" s="5"/>
      <c r="AB962" s="5"/>
      <c r="AC962" s="5"/>
      <c r="AD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  <c r="AA963" s="5"/>
      <c r="AB963" s="5"/>
      <c r="AC963" s="5"/>
      <c r="AD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  <c r="AA964" s="5"/>
      <c r="AB964" s="5"/>
      <c r="AC964" s="5"/>
      <c r="AD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  <c r="AA965" s="5"/>
      <c r="AB965" s="5"/>
      <c r="AC965" s="5"/>
      <c r="AD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  <c r="AA966" s="5"/>
      <c r="AB966" s="5"/>
      <c r="AC966" s="5"/>
      <c r="AD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  <c r="AA967" s="5"/>
      <c r="AB967" s="5"/>
      <c r="AC967" s="5"/>
      <c r="AD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  <c r="AA968" s="5"/>
      <c r="AB968" s="5"/>
      <c r="AC968" s="5"/>
      <c r="AD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  <c r="AA969" s="5"/>
      <c r="AB969" s="5"/>
      <c r="AC969" s="5"/>
      <c r="AD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  <c r="AA970" s="5"/>
      <c r="AB970" s="5"/>
      <c r="AC970" s="5"/>
      <c r="AD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  <c r="AA971" s="5"/>
      <c r="AB971" s="5"/>
      <c r="AC971" s="5"/>
      <c r="AD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  <c r="AA972" s="5"/>
      <c r="AB972" s="5"/>
      <c r="AC972" s="5"/>
      <c r="AD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  <c r="AA973" s="5"/>
      <c r="AB973" s="5"/>
      <c r="AC973" s="5"/>
      <c r="AD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  <c r="AA974" s="5"/>
      <c r="AB974" s="5"/>
      <c r="AC974" s="5"/>
      <c r="AD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  <c r="AA975" s="5"/>
      <c r="AB975" s="5"/>
      <c r="AC975" s="5"/>
      <c r="AD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  <c r="AA976" s="5"/>
      <c r="AB976" s="5"/>
      <c r="AC976" s="5"/>
      <c r="AD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  <c r="AA977" s="5"/>
      <c r="AB977" s="5"/>
      <c r="AC977" s="5"/>
      <c r="AD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  <c r="AA978" s="5"/>
      <c r="AB978" s="5"/>
      <c r="AC978" s="5"/>
      <c r="AD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  <c r="AA979" s="5"/>
      <c r="AB979" s="5"/>
      <c r="AC979" s="5"/>
      <c r="AD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  <c r="AA980" s="5"/>
      <c r="AB980" s="5"/>
      <c r="AC980" s="5"/>
      <c r="AD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  <c r="AA981" s="5"/>
      <c r="AB981" s="5"/>
      <c r="AC981" s="5"/>
      <c r="AD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  <c r="AA982" s="5"/>
      <c r="AB982" s="5"/>
      <c r="AC982" s="5"/>
      <c r="AD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  <c r="AA983" s="5"/>
      <c r="AB983" s="5"/>
      <c r="AC983" s="5"/>
      <c r="AD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  <c r="AA984" s="5"/>
      <c r="AB984" s="5"/>
      <c r="AC984" s="5"/>
      <c r="AD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  <c r="AA985" s="5"/>
      <c r="AB985" s="5"/>
      <c r="AC985" s="5"/>
      <c r="AD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  <c r="AA986" s="5"/>
      <c r="AB986" s="5"/>
      <c r="AC986" s="5"/>
      <c r="AD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  <c r="AA987" s="5"/>
      <c r="AB987" s="5"/>
      <c r="AC987" s="5"/>
      <c r="AD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  <c r="AA988" s="5"/>
      <c r="AB988" s="5"/>
      <c r="AC988" s="5"/>
      <c r="AD988" s="5"/>
    </row>
  </sheetData>
  <hyperlinks>
    <hyperlink r:id="rId1" ref="F11"/>
    <hyperlink r:id="rId2" ref="F12"/>
    <hyperlink r:id="rId3" ref="F13"/>
  </hyperlinks>
  <printOptions/>
  <pageMargins bottom="0.75" footer="0.0" header="0.0" left="0.7" right="0.7" top="0.75"/>
  <pageSetup orientation="landscape"/>
  <drawing r:id="rId4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14.88"/>
  </cols>
  <sheetData>
    <row r="1">
      <c r="A1" s="1"/>
      <c r="B1" s="2"/>
      <c r="C1" s="4" t="s">
        <v>1</v>
      </c>
      <c r="D1" s="4" t="s">
        <v>2</v>
      </c>
      <c r="E1" s="4" t="s">
        <v>3</v>
      </c>
      <c r="F1" s="4" t="s">
        <v>4</v>
      </c>
      <c r="G1" s="4" t="s">
        <v>5</v>
      </c>
      <c r="H1" s="4" t="s">
        <v>6</v>
      </c>
      <c r="I1" s="4" t="s">
        <v>7</v>
      </c>
      <c r="J1" s="4" t="s">
        <v>8</v>
      </c>
      <c r="K1" s="4" t="s">
        <v>9</v>
      </c>
      <c r="L1" s="5"/>
      <c r="M1" s="5"/>
      <c r="N1" s="5"/>
      <c r="O1" s="5"/>
      <c r="P1" s="5"/>
      <c r="Q1" s="5"/>
      <c r="R1" s="5"/>
      <c r="S1" s="5"/>
      <c r="T1" s="5"/>
      <c r="U1" s="5"/>
    </row>
    <row r="2">
      <c r="A2" s="6" t="s">
        <v>10</v>
      </c>
      <c r="B2" s="4" t="s">
        <v>11</v>
      </c>
      <c r="C2" s="14">
        <f t="array" ref="C2">SUM(IF(LEFT(INDEX(MatchesDB!$K$11:$Z40, 0, MATCH(C$1, MatchesDB!$K$10:$Z$10, 0)), 1)="1", 1, 0))</f>
        <v>10</v>
      </c>
      <c r="D2" s="14">
        <f t="array" ref="D2">SUM(IF(LEFT(INDEX(MatchesDB!$K$11:$Z42, 0, MATCH(D$1, MatchesDB!$K$10:$Z$10, 0)), 1)="1", 1, 0))</f>
        <v>10</v>
      </c>
      <c r="E2" s="14">
        <f t="array" ref="E2">SUM(IF(LEFT(INDEX(MatchesDB!$K$11:$Z40, 0, MATCH(E$1, MatchesDB!$K$10:$Z$10, 0)), 1)="1", 1, 0))</f>
        <v>10</v>
      </c>
      <c r="F2" s="14">
        <f t="array" ref="F2">SUM(IF(LEFT(INDEX(MatchesDB!$K$11:$Z40, 0, MATCH(F$1, MatchesDB!$K$10:$Z$10, 0)), 1)="1", 1, 0))</f>
        <v>9</v>
      </c>
      <c r="G2" s="14">
        <f t="array" ref="G2">SUM(IF(LEFT(INDEX(MatchesDB!$K$11:$Z40, 0, MATCH(G$1, MatchesDB!$K$10:$Z$10, 0)), 1)="1", 1, 0))</f>
        <v>10</v>
      </c>
      <c r="H2" s="14">
        <f t="array" ref="H2">SUM(IF(LEFT(INDEX(MatchesDB!$K$11:$Z40, 0, MATCH(H$1, MatchesDB!$K$10:$Z$10, 0)), 1)="1", 1, 0))</f>
        <v>10</v>
      </c>
      <c r="I2" s="14">
        <f t="array" ref="I2">SUM(IF(LEFT(INDEX(MatchesDB!$K$11:$Z40, 0, MATCH(I$1, MatchesDB!$K$10:$Z$10, 0)), 1)="1", 1, 0))</f>
        <v>7</v>
      </c>
      <c r="J2" s="14">
        <f t="array" ref="J2">SUM(IF(LEFT(INDEX(MatchesDB!$K$11:$Z40, 0, MATCH(J$1, MatchesDB!$K$10:$Z$10, 0)), 1)="1", 1, 0))</f>
        <v>10</v>
      </c>
      <c r="K2" s="14">
        <f t="array" ref="K2">SUM(IF(LEFT(INDEX(MatchesDB!$K$11:$Z40, 0, MATCH(K$1, MatchesDB!$K$10:$Z$10, 0)), 1)="1", 1, 0))</f>
        <v>10</v>
      </c>
      <c r="L2" s="5"/>
      <c r="M2" s="5"/>
      <c r="N2" s="5"/>
      <c r="O2" s="5"/>
      <c r="P2" s="5"/>
      <c r="Q2" s="5"/>
      <c r="R2" s="5"/>
      <c r="S2" s="5"/>
      <c r="T2" s="5"/>
      <c r="U2" s="5"/>
    </row>
    <row r="3">
      <c r="A3" s="28"/>
      <c r="B3" s="4" t="s">
        <v>63</v>
      </c>
      <c r="C3" s="29">
        <f>C2/MatchesDB!$B$1</f>
        <v>1</v>
      </c>
      <c r="D3" s="29">
        <f>D2/MatchesDB!$B$1</f>
        <v>1</v>
      </c>
      <c r="E3" s="29">
        <f>E2/MatchesDB!$B$1</f>
        <v>1</v>
      </c>
      <c r="F3" s="29">
        <f>F2/MatchesDB!$B$1</f>
        <v>0.9</v>
      </c>
      <c r="G3" s="29">
        <f>G2/MatchesDB!$B$1</f>
        <v>1</v>
      </c>
      <c r="H3" s="29">
        <f>H2/MatchesDB!$B$1</f>
        <v>1</v>
      </c>
      <c r="I3" s="29">
        <f>I2/(MatchesDB!$B$1-4)</f>
        <v>1.166666667</v>
      </c>
      <c r="J3" s="29">
        <f>J2/MatchesDB!$B$1</f>
        <v>1</v>
      </c>
      <c r="K3" s="29">
        <f>K2/MatchesDB!$B$1</f>
        <v>1</v>
      </c>
      <c r="L3" s="5"/>
      <c r="M3" s="5"/>
      <c r="N3" s="5"/>
      <c r="O3" s="5"/>
      <c r="P3" s="5"/>
      <c r="Q3" s="5"/>
      <c r="R3" s="5"/>
      <c r="S3" s="5"/>
      <c r="T3" s="5"/>
      <c r="U3" s="5"/>
    </row>
    <row r="4">
      <c r="A4" s="6" t="s">
        <v>72</v>
      </c>
      <c r="B4" s="4" t="s">
        <v>11</v>
      </c>
      <c r="C4" s="31">
        <f t="array" ref="C4">SUM(IF(MID(INDEX(MatchesDB!$K$11:$Z40, 0, MATCH(C$1, MatchesDB!$K$10:$Z$10, 0)), 3, 1)="1", 1, 0))</f>
        <v>8</v>
      </c>
      <c r="D4" s="31">
        <f t="array" ref="D4">SUM(IF(MID(INDEX(MatchesDB!$K$11:$Z40, 0, MATCH(D$1, MatchesDB!$K$10:$Z$10, 0)), 3, 1)="1", 1, 0))</f>
        <v>9</v>
      </c>
      <c r="E4" s="31">
        <f t="array" ref="E4">SUM(IF(MID(INDEX(MatchesDB!$K$11:$Z40, 0, MATCH(E$1, MatchesDB!$K$10:$Z$10, 0)), 3, 1)="1", 1, 0))</f>
        <v>6</v>
      </c>
      <c r="F4" s="31">
        <f t="array" ref="F4">SUM(IF(MID(INDEX(MatchesDB!$K$11:$Z40, 0, MATCH(F$1, MatchesDB!$K$10:$Z$10, 0)), 3, 1)="1", 1, 0))</f>
        <v>8</v>
      </c>
      <c r="G4" s="31">
        <f t="array" ref="G4">SUM(IF(MID(INDEX(MatchesDB!$K$11:$Z40, 0, MATCH(G$1, MatchesDB!$K$10:$Z$10, 0)), 3, 1)="1", 1, 0))</f>
        <v>8</v>
      </c>
      <c r="H4" s="31">
        <f t="array" ref="H4">SUM(IF(MID(INDEX(MatchesDB!$K$11:$Z40, 0, MATCH(H$1, MatchesDB!$K$10:$Z$10, 0)), 3, 1)="1", 1, 0))</f>
        <v>10</v>
      </c>
      <c r="I4" s="31">
        <f t="array" ref="I4">SUM(IF(MID(INDEX(MatchesDB!$K$11:$Z40, 0, MATCH(I$1, MatchesDB!$K$10:$Z$10, 0)), 3, 1)="1", 1, 0))</f>
        <v>7</v>
      </c>
      <c r="J4" s="31">
        <f t="array" ref="J4">SUM(IF(MID(INDEX(MatchesDB!$K$11:$Z40, 0, MATCH(J$1, MatchesDB!$K$10:$Z$10, 0)), 3, 1)="1", 1, 0))</f>
        <v>9</v>
      </c>
      <c r="K4" s="31">
        <f t="array" ref="K4">SUM(IF(MID(INDEX(MatchesDB!$K$11:$Z40, 0, MATCH(K$1, MatchesDB!$K$10:$Z$10, 0)), 3, 1)="1", 1, 0))</f>
        <v>9</v>
      </c>
      <c r="L4" s="5"/>
      <c r="M4" s="5"/>
      <c r="N4" s="5"/>
      <c r="O4" s="5"/>
      <c r="P4" s="5"/>
      <c r="Q4" s="5"/>
      <c r="R4" s="5"/>
      <c r="S4" s="5"/>
      <c r="T4" s="5"/>
      <c r="U4" s="5"/>
    </row>
    <row r="5">
      <c r="A5" s="28"/>
      <c r="B5" s="4" t="s">
        <v>63</v>
      </c>
      <c r="C5" s="29">
        <f t="shared" ref="C5:K5" si="1">C4/C2</f>
        <v>0.8</v>
      </c>
      <c r="D5" s="29">
        <f t="shared" si="1"/>
        <v>0.9</v>
      </c>
      <c r="E5" s="29">
        <f t="shared" si="1"/>
        <v>0.6</v>
      </c>
      <c r="F5" s="29">
        <f t="shared" si="1"/>
        <v>0.8888888889</v>
      </c>
      <c r="G5" s="29">
        <f t="shared" si="1"/>
        <v>0.8</v>
      </c>
      <c r="H5" s="29">
        <f t="shared" si="1"/>
        <v>1</v>
      </c>
      <c r="I5" s="29">
        <f t="shared" si="1"/>
        <v>1</v>
      </c>
      <c r="J5" s="29">
        <f t="shared" si="1"/>
        <v>0.9</v>
      </c>
      <c r="K5" s="29">
        <f t="shared" si="1"/>
        <v>0.9</v>
      </c>
      <c r="L5" s="5"/>
      <c r="M5" s="5"/>
      <c r="N5" s="5"/>
      <c r="O5" s="5"/>
      <c r="P5" s="5"/>
      <c r="Q5" s="5"/>
      <c r="R5" s="5"/>
      <c r="S5" s="5"/>
      <c r="T5" s="5"/>
      <c r="U5" s="5"/>
    </row>
    <row r="6">
      <c r="A6" s="6" t="s">
        <v>89</v>
      </c>
      <c r="B6" s="4" t="s">
        <v>11</v>
      </c>
      <c r="C6" s="14">
        <f t="array" ref="C6">SUM(IFERROR(VALUE(MID(INDEX(MatchesDB!$K$11:$Z40, 0, MATCH(C$1, MatchesDB!$K$10:$Z$10, 0)), 5, 1)), 0))</f>
        <v>1</v>
      </c>
      <c r="D6" s="14">
        <f t="array" ref="D6">SUM(IFERROR(VALUE(MID(INDEX(MatchesDB!$K$11:$Z40, 0, MATCH(D$1, MatchesDB!$K$10:$Z$10, 0)), 5, 1)), 0))</f>
        <v>12</v>
      </c>
      <c r="E6" s="14">
        <f t="array" ref="E6">SUM(IFERROR(VALUE(MID(INDEX(MatchesDB!$K$11:$Z40, 0, MATCH(E$1, MatchesDB!$K$10:$Z$10, 0)), 5, 1)), 0))</f>
        <v>6</v>
      </c>
      <c r="F6" s="14">
        <f t="array" ref="F6">SUM(IFERROR(VALUE(MID(INDEX(MatchesDB!$K$11:$Z40, 0, MATCH(F$1, MatchesDB!$K$10:$Z$10, 0)), 5, 1)), 0))</f>
        <v>3</v>
      </c>
      <c r="G6" s="14">
        <f t="array" ref="G6">SUM(IFERROR(VALUE(MID(INDEX(MatchesDB!$K$11:$Z40, 0, MATCH(G$1, MatchesDB!$K$10:$Z$10, 0)), 5, 1)), 0))</f>
        <v>22</v>
      </c>
      <c r="H6" s="14">
        <f t="array" ref="H6">SUM(IFERROR(VALUE(MID(INDEX(MatchesDB!$K$11:$Z40, 0, MATCH(H$1, MatchesDB!$K$10:$Z$10, 0)), 5, 1)), 0))</f>
        <v>4</v>
      </c>
      <c r="I6" s="14">
        <f t="array" ref="I6">SUM(IFERROR(VALUE(MID(INDEX(MatchesDB!$K$11:$Z40, 0, MATCH(I$1, MatchesDB!$K$10:$Z$10, 0)), 5, 1)), 0))</f>
        <v>1</v>
      </c>
      <c r="J6" s="14">
        <f t="array" ref="J6">SUM(IFERROR(VALUE(MID(INDEX(MatchesDB!$K$11:$Z40, 0, MATCH(J$1, MatchesDB!$K$10:$Z$10, 0)), 5, 1)), 0))</f>
        <v>11</v>
      </c>
      <c r="K6" s="14">
        <f t="array" ref="K6">SUM(IFERROR(VALUE(MID(INDEX(MatchesDB!$K$11:$Z40, 0, MATCH(K$1, MatchesDB!$K$10:$Z$10, 0)), 5, 1)), 0))</f>
        <v>5</v>
      </c>
      <c r="L6" s="5"/>
      <c r="M6" s="5"/>
      <c r="N6" s="5"/>
      <c r="O6" s="5"/>
      <c r="P6" s="5"/>
      <c r="Q6" s="5"/>
      <c r="R6" s="5"/>
      <c r="S6" s="5"/>
      <c r="T6" s="5"/>
      <c r="U6" s="5"/>
    </row>
    <row r="7">
      <c r="A7" s="28"/>
      <c r="B7" s="4" t="s">
        <v>90</v>
      </c>
      <c r="C7" s="32">
        <f t="shared" ref="C7:K7" si="2">C6/C2</f>
        <v>0.1</v>
      </c>
      <c r="D7" s="32">
        <f t="shared" si="2"/>
        <v>1.2</v>
      </c>
      <c r="E7" s="32">
        <f t="shared" si="2"/>
        <v>0.6</v>
      </c>
      <c r="F7" s="32">
        <f t="shared" si="2"/>
        <v>0.3333333333</v>
      </c>
      <c r="G7" s="32">
        <f t="shared" si="2"/>
        <v>2.2</v>
      </c>
      <c r="H7" s="32">
        <f t="shared" si="2"/>
        <v>0.4</v>
      </c>
      <c r="I7" s="32">
        <f t="shared" si="2"/>
        <v>0.1428571429</v>
      </c>
      <c r="J7" s="32">
        <f t="shared" si="2"/>
        <v>1.1</v>
      </c>
      <c r="K7" s="32">
        <f t="shared" si="2"/>
        <v>0.5</v>
      </c>
      <c r="L7" s="5"/>
      <c r="M7" s="5"/>
      <c r="N7" s="5"/>
      <c r="O7" s="5"/>
      <c r="P7" s="5"/>
      <c r="Q7" s="5"/>
      <c r="R7" s="5"/>
      <c r="S7" s="5"/>
      <c r="T7" s="5"/>
      <c r="U7" s="5"/>
    </row>
    <row r="8">
      <c r="A8" s="6" t="s">
        <v>91</v>
      </c>
      <c r="B8" s="4" t="s">
        <v>11</v>
      </c>
      <c r="C8" s="31">
        <f t="array" ref="C8">SUM(IFERROR(VALUE(MID(INDEX(MatchesDB!$K$11:$Z40, 0, MATCH(C$1, MatchesDB!$K$10:$Z$10, 0)), 7, 1)), 0))</f>
        <v>8</v>
      </c>
      <c r="D8" s="31">
        <f t="array" ref="D8">SUM(IFERROR(VALUE(MID(INDEX(MatchesDB!$K$11:$Z40, 0, MATCH(D$1, MatchesDB!$K$10:$Z$10, 0)), 7, 1)), 0))</f>
        <v>10</v>
      </c>
      <c r="E8" s="31">
        <f t="array" ref="E8">SUM(IFERROR(VALUE(MID(INDEX(MatchesDB!$K$11:$Z40, 0, MATCH(E$1, MatchesDB!$K$10:$Z$10, 0)), 7, 1)), 0))</f>
        <v>2</v>
      </c>
      <c r="F8" s="31">
        <f t="array" ref="F8">SUM(IFERROR(VALUE(MID(INDEX(MatchesDB!$K$11:$Z40, 0, MATCH(F$1, MatchesDB!$K$10:$Z$10, 0)), 7, 1)), 0))</f>
        <v>2</v>
      </c>
      <c r="G8" s="31">
        <f t="array" ref="G8">SUM(IFERROR(VALUE(MID(INDEX(MatchesDB!$K$11:$Z40, 0, MATCH(G$1, MatchesDB!$K$10:$Z$10, 0)), 7, 1)), 0))</f>
        <v>4</v>
      </c>
      <c r="H8" s="31">
        <f t="array" ref="H8">SUM(IFERROR(VALUE(MID(INDEX(MatchesDB!$K$11:$Z40, 0, MATCH(H$1, MatchesDB!$K$10:$Z$10, 0)), 7, 1)), 0))</f>
        <v>2</v>
      </c>
      <c r="I8" s="31">
        <f t="array" ref="I8">SUM(IFERROR(VALUE(MID(INDEX(MatchesDB!$K$11:$Z40, 0, MATCH(I$1, MatchesDB!$K$10:$Z$10, 0)), 7, 1)), 0))</f>
        <v>0</v>
      </c>
      <c r="J8" s="31">
        <f t="array" ref="J8">SUM(IFERROR(VALUE(MID(INDEX(MatchesDB!$K$11:$Z40, 0, MATCH(J$1, MatchesDB!$K$10:$Z$10, 0)), 7, 1)), 0))</f>
        <v>5</v>
      </c>
      <c r="K8" s="31">
        <f t="array" ref="K8">SUM(IFERROR(VALUE(MID(INDEX(MatchesDB!$K$11:$Z40, 0, MATCH(K$1, MatchesDB!$K$10:$Z$10, 0)), 7, 1)), 0))</f>
        <v>4</v>
      </c>
      <c r="L8" s="5"/>
      <c r="M8" s="5"/>
      <c r="N8" s="5"/>
      <c r="O8" s="5"/>
      <c r="P8" s="5"/>
      <c r="Q8" s="5"/>
      <c r="R8" s="5"/>
      <c r="S8" s="5"/>
      <c r="T8" s="5"/>
      <c r="U8" s="5"/>
    </row>
    <row r="9">
      <c r="A9" s="28"/>
      <c r="B9" s="4" t="s">
        <v>90</v>
      </c>
      <c r="C9" s="32">
        <f t="shared" ref="C9:K9" si="3">C8/C2</f>
        <v>0.8</v>
      </c>
      <c r="D9" s="32">
        <f t="shared" si="3"/>
        <v>1</v>
      </c>
      <c r="E9" s="32">
        <f t="shared" si="3"/>
        <v>0.2</v>
      </c>
      <c r="F9" s="32">
        <f t="shared" si="3"/>
        <v>0.2222222222</v>
      </c>
      <c r="G9" s="32">
        <f t="shared" si="3"/>
        <v>0.4</v>
      </c>
      <c r="H9" s="32">
        <f t="shared" si="3"/>
        <v>0.2</v>
      </c>
      <c r="I9" s="32">
        <f t="shared" si="3"/>
        <v>0</v>
      </c>
      <c r="J9" s="32">
        <f t="shared" si="3"/>
        <v>0.5</v>
      </c>
      <c r="K9" s="32">
        <f t="shared" si="3"/>
        <v>0.4</v>
      </c>
      <c r="L9" s="5"/>
      <c r="M9" s="5"/>
      <c r="N9" s="5"/>
      <c r="O9" s="5"/>
      <c r="P9" s="5"/>
      <c r="Q9" s="5"/>
      <c r="R9" s="5"/>
      <c r="S9" s="5"/>
      <c r="T9" s="5"/>
      <c r="U9" s="5"/>
    </row>
    <row r="10">
      <c r="A10" s="6" t="s">
        <v>96</v>
      </c>
      <c r="B10" s="4" t="s">
        <v>11</v>
      </c>
      <c r="C10" s="14">
        <f t="shared" ref="C10:K10" si="4">C6+C8</f>
        <v>9</v>
      </c>
      <c r="D10" s="14">
        <f t="shared" si="4"/>
        <v>22</v>
      </c>
      <c r="E10" s="14">
        <f t="shared" si="4"/>
        <v>8</v>
      </c>
      <c r="F10" s="14">
        <f t="shared" si="4"/>
        <v>5</v>
      </c>
      <c r="G10" s="14">
        <f t="shared" si="4"/>
        <v>26</v>
      </c>
      <c r="H10" s="14">
        <f t="shared" si="4"/>
        <v>6</v>
      </c>
      <c r="I10" s="14">
        <f t="shared" si="4"/>
        <v>1</v>
      </c>
      <c r="J10" s="14">
        <f t="shared" si="4"/>
        <v>16</v>
      </c>
      <c r="K10" s="14">
        <f t="shared" si="4"/>
        <v>9</v>
      </c>
      <c r="L10" s="5"/>
      <c r="M10" s="5"/>
      <c r="N10" s="5"/>
      <c r="O10" s="5"/>
      <c r="P10" s="5"/>
      <c r="Q10" s="5"/>
      <c r="R10" s="5"/>
      <c r="S10" s="5"/>
      <c r="T10" s="5"/>
      <c r="U10" s="5"/>
    </row>
    <row r="11">
      <c r="A11" s="28"/>
      <c r="B11" s="4" t="s">
        <v>90</v>
      </c>
      <c r="C11" s="32">
        <f t="shared" ref="C11:K11" si="5">C10/C2</f>
        <v>0.9</v>
      </c>
      <c r="D11" s="32">
        <f t="shared" si="5"/>
        <v>2.2</v>
      </c>
      <c r="E11" s="32">
        <f t="shared" si="5"/>
        <v>0.8</v>
      </c>
      <c r="F11" s="32">
        <f t="shared" si="5"/>
        <v>0.5555555556</v>
      </c>
      <c r="G11" s="32">
        <f t="shared" si="5"/>
        <v>2.6</v>
      </c>
      <c r="H11" s="32">
        <f t="shared" si="5"/>
        <v>0.6</v>
      </c>
      <c r="I11" s="32">
        <f t="shared" si="5"/>
        <v>0.1428571429</v>
      </c>
      <c r="J11" s="32">
        <f t="shared" si="5"/>
        <v>1.6</v>
      </c>
      <c r="K11" s="32">
        <f t="shared" si="5"/>
        <v>0.9</v>
      </c>
      <c r="L11" s="5"/>
      <c r="M11" s="5"/>
      <c r="N11" s="5"/>
      <c r="O11" s="5"/>
      <c r="P11" s="5"/>
      <c r="Q11" s="5"/>
      <c r="R11" s="5"/>
      <c r="S11" s="5"/>
      <c r="T11" s="5"/>
      <c r="U11" s="5"/>
    </row>
    <row r="12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</row>
    <row r="13">
      <c r="A13" s="5"/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</row>
    <row r="14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</row>
    <row r="15">
      <c r="A15" s="5"/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</row>
    <row r="16">
      <c r="A16" s="5"/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</row>
    <row r="17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</row>
    <row r="18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</row>
    <row r="19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</row>
    <row r="20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</row>
    <row r="21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</row>
    <row r="22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</row>
    <row r="23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</row>
    <row r="24">
      <c r="A24" s="5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</row>
    <row r="25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</row>
    <row r="26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</row>
    <row r="2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</row>
    <row r="28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</row>
    <row r="29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</row>
    <row r="30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</row>
    <row r="3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</row>
    <row r="3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</row>
    <row r="34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</row>
    <row r="3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</row>
    <row r="3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</row>
    <row r="37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</row>
    <row r="4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</row>
  </sheetData>
  <mergeCells count="5">
    <mergeCell ref="A2:A3"/>
    <mergeCell ref="A4:A5"/>
    <mergeCell ref="A6:A7"/>
    <mergeCell ref="A8:A9"/>
    <mergeCell ref="A10:A11"/>
  </mergeCells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