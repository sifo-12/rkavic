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arnermedia-my.sharepoint.com/personal/tomasz_swierzewski_wbd_com/Documents/PRV/RKAVIC/"/>
    </mc:Choice>
  </mc:AlternateContent>
  <xr:revisionPtr revIDLastSave="155" documentId="13_ncr:1_{990550DF-E5D7-4C81-A83D-0AA9AB389B5D}" xr6:coauthVersionLast="47" xr6:coauthVersionMax="47" xr10:uidLastSave="{289A0958-DED7-4430-8611-3772B9B89540}"/>
  <bookViews>
    <workbookView xWindow="-28920" yWindow="-3465" windowWidth="29040" windowHeight="15720" xr2:uid="{00000000-000D-0000-FFFF-FFFF00000000}"/>
  </bookViews>
  <sheets>
    <sheet name="MatchesDB" sheetId="1" r:id="rId1"/>
    <sheet name="Individ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ihElJzm+nOgd3JsRloENSymbUuSCscvFn8orp5JPTY="/>
    </ext>
  </extLst>
</workbook>
</file>

<file path=xl/calcChain.xml><?xml version="1.0" encoding="utf-8"?>
<calcChain xmlns="http://schemas.openxmlformats.org/spreadsheetml/2006/main">
  <c r="M23" i="1" l="1" a="1"/>
  <c r="M23" i="1" s="1"/>
  <c r="K12" i="1" a="1"/>
  <c r="K12" i="1" s="1"/>
  <c r="K13" i="1" a="1"/>
  <c r="K13" i="1" s="1"/>
  <c r="K14" i="1" a="1"/>
  <c r="K14" i="1" s="1"/>
  <c r="J14" i="1" s="1"/>
  <c r="K15" i="1" a="1"/>
  <c r="K15" i="1" s="1"/>
  <c r="J15" i="1" s="1"/>
  <c r="K16" i="1" a="1"/>
  <c r="K16" i="1" s="1"/>
  <c r="J16" i="1" s="1"/>
  <c r="K17" i="1" a="1"/>
  <c r="K17" i="1" s="1"/>
  <c r="J17" i="1" s="1"/>
  <c r="K18" i="1" a="1"/>
  <c r="K18" i="1" s="1"/>
  <c r="J18" i="1" s="1"/>
  <c r="K19" i="1" a="1"/>
  <c r="K19" i="1" s="1"/>
  <c r="J19" i="1" s="1"/>
  <c r="K20" i="1" a="1"/>
  <c r="K20" i="1"/>
  <c r="J20" i="1" s="1"/>
  <c r="K21" i="1" a="1"/>
  <c r="K21" i="1"/>
  <c r="J21" i="1" s="1"/>
  <c r="K22" i="1" a="1"/>
  <c r="K22" i="1" s="1"/>
  <c r="J22" i="1" s="1"/>
  <c r="K23" i="1" a="1"/>
  <c r="K23" i="1"/>
  <c r="K24" i="1" a="1"/>
  <c r="K24" i="1"/>
  <c r="K25" i="1" a="1"/>
  <c r="K25" i="1"/>
  <c r="K26" i="1" a="1"/>
  <c r="K26" i="1"/>
  <c r="K27" i="1" a="1"/>
  <c r="K27" i="1" s="1"/>
  <c r="J27" i="1" s="1"/>
  <c r="K28" i="1" a="1"/>
  <c r="K28" i="1"/>
  <c r="J28" i="1" s="1"/>
  <c r="K29" i="1" a="1"/>
  <c r="K29" i="1" s="1"/>
  <c r="J29" i="1" s="1"/>
  <c r="K30" i="1" a="1"/>
  <c r="K30" i="1"/>
  <c r="K31" i="1" a="1"/>
  <c r="K31" i="1"/>
  <c r="J31" i="1" s="1"/>
  <c r="K32" i="1" a="1"/>
  <c r="K32" i="1"/>
  <c r="J32" i="1" s="1"/>
  <c r="K33" i="1" a="1"/>
  <c r="K33" i="1"/>
  <c r="J33" i="1" s="1"/>
  <c r="K34" i="1" a="1"/>
  <c r="K34" i="1"/>
  <c r="J34" i="1" s="1"/>
  <c r="K35" i="1" a="1"/>
  <c r="K35" i="1"/>
  <c r="J35" i="1" s="1"/>
  <c r="K36" i="1" a="1"/>
  <c r="K36" i="1" s="1"/>
  <c r="J36" i="1" s="1"/>
  <c r="K37" i="1" a="1"/>
  <c r="K37" i="1"/>
  <c r="K38" i="1" a="1"/>
  <c r="K38" i="1"/>
  <c r="K39" i="1" a="1"/>
  <c r="K39" i="1"/>
  <c r="K40" i="1" a="1"/>
  <c r="K40" i="1"/>
  <c r="M12" i="1" a="1"/>
  <c r="M12" i="1" s="1"/>
  <c r="M13" i="1" a="1"/>
  <c r="M13" i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/>
  <c r="M21" i="1" a="1"/>
  <c r="M21" i="1" s="1"/>
  <c r="M22" i="1" a="1"/>
  <c r="M22" i="1"/>
  <c r="M24" i="1" a="1"/>
  <c r="M24" i="1"/>
  <c r="M25" i="1" a="1"/>
  <c r="M25" i="1"/>
  <c r="M26" i="1" a="1"/>
  <c r="M26" i="1" s="1"/>
  <c r="M27" i="1" a="1"/>
  <c r="M27" i="1" s="1"/>
  <c r="M28" i="1" a="1"/>
  <c r="M28" i="1" s="1"/>
  <c r="M29" i="1" a="1"/>
  <c r="M29" i="1"/>
  <c r="M30" i="1" a="1"/>
  <c r="M30" i="1"/>
  <c r="M31" i="1" a="1"/>
  <c r="M31" i="1"/>
  <c r="M32" i="1" a="1"/>
  <c r="M32" i="1" s="1"/>
  <c r="M33" i="1" a="1"/>
  <c r="M33" i="1" s="1"/>
  <c r="M34" i="1" a="1"/>
  <c r="M34" i="1"/>
  <c r="M35" i="1" a="1"/>
  <c r="M35" i="1" s="1"/>
  <c r="M36" i="1" a="1"/>
  <c r="M36" i="1"/>
  <c r="M37" i="1" a="1"/>
  <c r="M37" i="1"/>
  <c r="M38" i="1" a="1"/>
  <c r="M38" i="1"/>
  <c r="M39" i="1" a="1"/>
  <c r="M39" i="1"/>
  <c r="M40" i="1" a="1"/>
  <c r="M40" i="1" s="1"/>
  <c r="M11" i="1" a="1"/>
  <c r="M11" i="1" s="1"/>
  <c r="K11" i="1" a="1"/>
  <c r="K11" i="1" s="1"/>
  <c r="M2" i="2" a="1"/>
  <c r="M2" i="2" s="1"/>
  <c r="N2" i="2" a="1"/>
  <c r="N2" i="2" s="1"/>
  <c r="M4" i="2" a="1"/>
  <c r="M4" i="2" s="1"/>
  <c r="N4" i="2" a="1"/>
  <c r="N4" i="2" s="1"/>
  <c r="M6" i="2" a="1"/>
  <c r="M6" i="2" s="1"/>
  <c r="N6" i="2" a="1"/>
  <c r="N6" i="2" s="1"/>
  <c r="M8" i="2" a="1"/>
  <c r="M8" i="2" s="1"/>
  <c r="N8" i="2" a="1"/>
  <c r="N8" i="2" s="1"/>
  <c r="A19" i="1"/>
  <c r="J23" i="1"/>
  <c r="J24" i="1"/>
  <c r="J25" i="1"/>
  <c r="J26" i="1"/>
  <c r="J30" i="1"/>
  <c r="J37" i="1"/>
  <c r="J38" i="1"/>
  <c r="J39" i="1"/>
  <c r="J40" i="1"/>
  <c r="B49" i="1"/>
  <c r="C49" i="1"/>
  <c r="D49" i="1"/>
  <c r="E49" i="1"/>
  <c r="F49" i="1"/>
  <c r="G49" i="1"/>
  <c r="H49" i="1"/>
  <c r="I49" i="1"/>
  <c r="J49" i="1"/>
  <c r="K49" i="1"/>
  <c r="L49" i="1"/>
  <c r="M49" i="1"/>
  <c r="N9" i="2" l="1"/>
  <c r="N10" i="2"/>
  <c r="N11" i="2" s="1"/>
  <c r="M9" i="2"/>
  <c r="M7" i="2"/>
  <c r="M10" i="2"/>
  <c r="M11" i="2" s="1"/>
  <c r="M5" i="2"/>
  <c r="N7" i="2"/>
  <c r="N5" i="2"/>
  <c r="H8" i="2" a="1"/>
  <c r="H8" i="2" s="1"/>
  <c r="G8" i="2" a="1"/>
  <c r="G8" i="2" s="1"/>
  <c r="F8" i="2" a="1"/>
  <c r="F8" i="2" s="1"/>
  <c r="D8" i="2" a="1"/>
  <c r="D8" i="2" s="1"/>
  <c r="J12" i="1"/>
  <c r="D6" i="2" a="1"/>
  <c r="D6" i="2" s="1"/>
  <c r="L8" i="2" a="1"/>
  <c r="L8" i="2" s="1"/>
  <c r="K8" i="2" a="1"/>
  <c r="K8" i="2" s="1"/>
  <c r="J8" i="2" a="1"/>
  <c r="J8" i="2" s="1"/>
  <c r="I8" i="2" a="1"/>
  <c r="I8" i="2" s="1"/>
  <c r="E8" i="2" a="1"/>
  <c r="E8" i="2" s="1"/>
  <c r="L6" i="2" a="1"/>
  <c r="L6" i="2" s="1"/>
  <c r="K6" i="2" a="1"/>
  <c r="K6" i="2" s="1"/>
  <c r="J6" i="2" a="1"/>
  <c r="J6" i="2" s="1"/>
  <c r="I6" i="2" a="1"/>
  <c r="I6" i="2" s="1"/>
  <c r="H6" i="2" a="1"/>
  <c r="H6" i="2" s="1"/>
  <c r="G6" i="2" a="1"/>
  <c r="G6" i="2" s="1"/>
  <c r="F6" i="2" a="1"/>
  <c r="F6" i="2" s="1"/>
  <c r="E6" i="2" a="1"/>
  <c r="E6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4" i="2" a="1"/>
  <c r="E4" i="2" s="1"/>
  <c r="D4" i="2" a="1"/>
  <c r="D4" i="2" s="1"/>
  <c r="C4" i="2" a="1"/>
  <c r="C4" i="2" s="1"/>
  <c r="L2" i="2" a="1"/>
  <c r="L2" i="2" s="1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D2" i="2" a="1"/>
  <c r="D2" i="2" s="1"/>
  <c r="C2" i="2" a="1"/>
  <c r="C2" i="2" s="1"/>
  <c r="N48" i="1"/>
  <c r="N47" i="1"/>
  <c r="N46" i="1"/>
  <c r="N45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0" i="1"/>
  <c r="A21" i="1" s="1"/>
  <c r="A22" i="1" s="1"/>
  <c r="A23" i="1" s="1"/>
  <c r="A24" i="1" s="1"/>
  <c r="A25" i="1" s="1"/>
  <c r="A26" i="1" s="1"/>
  <c r="J13" i="1"/>
  <c r="A12" i="1"/>
  <c r="A13" i="1" s="1"/>
  <c r="A14" i="1" s="1"/>
  <c r="A15" i="1" s="1"/>
  <c r="A16" i="1" s="1"/>
  <c r="A17" i="1" s="1"/>
  <c r="A18" i="1" s="1"/>
  <c r="A11" i="1"/>
  <c r="B8" i="1"/>
  <c r="J11" i="1" l="1"/>
  <c r="C8" i="2" a="1"/>
  <c r="C8" i="2" s="1"/>
  <c r="C9" i="2" s="1"/>
  <c r="C6" i="2" a="1"/>
  <c r="C6" i="2" s="1"/>
  <c r="C7" i="2" s="1"/>
  <c r="H5" i="2"/>
  <c r="J5" i="2"/>
  <c r="I5" i="2"/>
  <c r="K5" i="2"/>
  <c r="L5" i="2"/>
  <c r="E5" i="2"/>
  <c r="F5" i="2"/>
  <c r="I7" i="2"/>
  <c r="I10" i="2"/>
  <c r="I11" i="2" s="1"/>
  <c r="B7" i="1"/>
  <c r="B6" i="1" s="1"/>
  <c r="J7" i="2"/>
  <c r="J10" i="2"/>
  <c r="J11" i="2" s="1"/>
  <c r="G5" i="2"/>
  <c r="K7" i="2"/>
  <c r="K10" i="2"/>
  <c r="K11" i="2" s="1"/>
  <c r="L7" i="2"/>
  <c r="L10" i="2"/>
  <c r="L11" i="2" s="1"/>
  <c r="D9" i="2"/>
  <c r="F9" i="2"/>
  <c r="G9" i="2"/>
  <c r="D7" i="2"/>
  <c r="D10" i="2"/>
  <c r="D11" i="2" s="1"/>
  <c r="H9" i="2"/>
  <c r="E7" i="2"/>
  <c r="E10" i="2"/>
  <c r="E11" i="2" s="1"/>
  <c r="I9" i="2"/>
  <c r="F10" i="2"/>
  <c r="F11" i="2" s="1"/>
  <c r="F7" i="2"/>
  <c r="J9" i="2"/>
  <c r="C5" i="2"/>
  <c r="G10" i="2"/>
  <c r="G11" i="2" s="1"/>
  <c r="G7" i="2"/>
  <c r="K9" i="2"/>
  <c r="E9" i="2"/>
  <c r="D5" i="2"/>
  <c r="H10" i="2"/>
  <c r="H11" i="2" s="1"/>
  <c r="H7" i="2"/>
  <c r="L9" i="2"/>
  <c r="C10" i="2" l="1"/>
  <c r="C11" i="2" s="1"/>
  <c r="B4" i="1"/>
  <c r="B3" i="1"/>
  <c r="B2" i="1"/>
  <c r="B1" i="1"/>
  <c r="J3" i="2" s="1"/>
  <c r="N3" i="2" l="1"/>
  <c r="M3" i="2"/>
  <c r="B5" i="1"/>
  <c r="H3" i="2"/>
  <c r="L3" i="2"/>
  <c r="I3" i="2"/>
  <c r="G3" i="2"/>
  <c r="E3" i="2"/>
  <c r="F3" i="2"/>
  <c r="K3" i="2"/>
  <c r="D3" i="2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<sst xmlns="http://schemas.openxmlformats.org/spreadsheetml/2006/main" count="260" uniqueCount="85">
  <si>
    <t>Matches</t>
  </si>
  <si>
    <t>Adam</t>
  </si>
  <si>
    <t>Antek</t>
  </si>
  <si>
    <t>Ben</t>
  </si>
  <si>
    <t>Ilay</t>
  </si>
  <si>
    <t>James</t>
  </si>
  <si>
    <t>Jesse</t>
  </si>
  <si>
    <t>Johan</t>
  </si>
  <si>
    <t>Ren</t>
  </si>
  <si>
    <t>Yahya</t>
  </si>
  <si>
    <t>Show-up</t>
  </si>
  <si>
    <t>Count</t>
  </si>
  <si>
    <t>Wins</t>
  </si>
  <si>
    <t>Loses</t>
  </si>
  <si>
    <t>Draws</t>
  </si>
  <si>
    <t>Points</t>
  </si>
  <si>
    <t>GD</t>
  </si>
  <si>
    <t>Scored</t>
  </si>
  <si>
    <t>Concede</t>
  </si>
  <si>
    <t>#</t>
  </si>
  <si>
    <t>Q</t>
  </si>
  <si>
    <t>League</t>
  </si>
  <si>
    <t>Date</t>
  </si>
  <si>
    <t>Kickoff</t>
  </si>
  <si>
    <t>URL</t>
  </si>
  <si>
    <t>Opponent</t>
  </si>
  <si>
    <t>Address</t>
  </si>
  <si>
    <t>H/A</t>
  </si>
  <si>
    <t>W/D/L</t>
  </si>
  <si>
    <t>Conceded</t>
  </si>
  <si>
    <t>Show up</t>
  </si>
  <si>
    <t>NVC Givaudan Kick-off Zomertornooi</t>
  </si>
  <si>
    <t>A</t>
  </si>
  <si>
    <t>%</t>
  </si>
  <si>
    <t>1st lineup</t>
  </si>
  <si>
    <t>Scorers</t>
  </si>
  <si>
    <t>1e 21</t>
  </si>
  <si>
    <t>H</t>
  </si>
  <si>
    <t>Average</t>
  </si>
  <si>
    <t>Assists</t>
  </si>
  <si>
    <t>Goal contribution</t>
  </si>
  <si>
    <t>showup</t>
  </si>
  <si>
    <t>score</t>
  </si>
  <si>
    <t>assist</t>
  </si>
  <si>
    <t>Maddox</t>
  </si>
  <si>
    <t>0,0,0,0</t>
  </si>
  <si>
    <t>1,1,0,0</t>
  </si>
  <si>
    <t>HSV de Zuidvogels JO 11-3</t>
  </si>
  <si>
    <t>1,1,1,0</t>
  </si>
  <si>
    <t>1,1,2,0</t>
  </si>
  <si>
    <t>NVC JO11-2</t>
  </si>
  <si>
    <t>Victoria JO11-4</t>
  </si>
  <si>
    <t>SV Huizen JO11-2</t>
  </si>
  <si>
    <t>CTO '70 JO11-1</t>
  </si>
  <si>
    <t>FC Amsterdam JO11-2</t>
  </si>
  <si>
    <t>Buitenveldert JO11-3</t>
  </si>
  <si>
    <t>Abcoude JO11-2</t>
  </si>
  <si>
    <t>Zuidoost United JO11-1</t>
  </si>
  <si>
    <t>Biesbosch 39, 1115 HE Duivendrecht</t>
  </si>
  <si>
    <t>Escapade 5, 1183 NM Amstelveen</t>
  </si>
  <si>
    <t>1,1,0,1</t>
  </si>
  <si>
    <t>1,0,0,0</t>
  </si>
  <si>
    <t>Kay</t>
  </si>
  <si>
    <t>Noam</t>
  </si>
  <si>
    <t>1,1,4,1</t>
  </si>
  <si>
    <t>1,1,0,2</t>
  </si>
  <si>
    <t>1,1,1,4</t>
  </si>
  <si>
    <t>1,1,1,1</t>
  </si>
  <si>
    <t>Gustav Mahlerlaan 2009, 1081 LB Amsterdam</t>
  </si>
  <si>
    <t>1,1,2,1</t>
  </si>
  <si>
    <t>1,0,0,1</t>
  </si>
  <si>
    <t>1,1,3,0</t>
  </si>
  <si>
    <t>1,0,1,0</t>
  </si>
  <si>
    <t>Oefen</t>
  </si>
  <si>
    <t>2e 23</t>
  </si>
  <si>
    <t>RODA'23 Rksv JO11-5</t>
  </si>
  <si>
    <t>ASV Blauw-Wit JO11-3</t>
  </si>
  <si>
    <t>ASV Arsenal JO11-2</t>
  </si>
  <si>
    <t>Swift JO11-4</t>
  </si>
  <si>
    <t>Buitenveldert JO11-4</t>
  </si>
  <si>
    <t>Sporting Martinus JO11-1</t>
  </si>
  <si>
    <t>Buitensingel 8, 1114 BE Duivendrecht</t>
  </si>
  <si>
    <t>Sloterweg 1043K, 1066 CC Amsterdam</t>
  </si>
  <si>
    <t>Olympiaplein 31, 1077 CL Amsterdam</t>
  </si>
  <si>
    <t>Amsterdamseweg 247, 1182 GZ Amstelveen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</si>
</sst>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97CC"/>
        <bgColor rgb="FF0097CC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D9F1F3"/>
        <bgColor rgb="FFD9F1F3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1" fillId="3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right"/>
    </xf>
    <xf numFmtId="0" fontId="1" fillId="4" borderId="2" xfId="0" applyFont="1" applyFill="1" applyBorder="1" applyAlignment="1">
      <alignment horizontal="center"/>
    </xf>
    <xf numFmtId="0" fontId="1" fillId="2" borderId="6" xfId="0" applyFont="1" applyFill="1" applyBorder="1"/>
    <xf numFmtId="0" fontId="3" fillId="2" borderId="7" xfId="0" applyFont="1" applyFill="1" applyBorder="1" applyAlignment="1">
      <alignment horizontal="right"/>
    </xf>
    <xf numFmtId="0" fontId="2" fillId="0" borderId="2" xfId="0" applyFont="1" applyBorder="1" applyAlignment="1">
      <alignment horizontal="right" wrapText="1"/>
    </xf>
    <xf numFmtId="0" fontId="1" fillId="2" borderId="8" xfId="0" applyFont="1" applyFill="1" applyBorder="1"/>
    <xf numFmtId="0" fontId="3" fillId="2" borderId="9" xfId="0" applyFont="1" applyFill="1" applyBorder="1" applyAlignment="1">
      <alignment horizontal="right"/>
    </xf>
    <xf numFmtId="10" fontId="2" fillId="0" borderId="0" xfId="0" applyNumberFormat="1" applyFont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2" xfId="0" applyFont="1" applyBorder="1"/>
    <xf numFmtId="16" fontId="1" fillId="0" borderId="2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0" fontId="8" fillId="0" borderId="2" xfId="0" applyFont="1" applyBorder="1"/>
    <xf numFmtId="9" fontId="2" fillId="0" borderId="2" xfId="0" applyNumberFormat="1" applyFont="1" applyBorder="1" applyAlignment="1">
      <alignment horizontal="right"/>
    </xf>
    <xf numFmtId="0" fontId="3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10" fillId="0" borderId="2" xfId="0" applyFont="1" applyBorder="1" applyAlignment="1">
      <alignment horizontal="center" wrapText="1"/>
    </xf>
    <xf numFmtId="16" fontId="2" fillId="0" borderId="2" xfId="0" applyNumberFormat="1" applyFont="1" applyBorder="1"/>
    <xf numFmtId="20" fontId="2" fillId="0" borderId="2" xfId="0" applyNumberFormat="1" applyFont="1" applyBorder="1"/>
    <xf numFmtId="0" fontId="1" fillId="3" borderId="5" xfId="0" applyFont="1" applyFill="1" applyBorder="1" applyAlignment="1">
      <alignment horizontal="center"/>
    </xf>
    <xf numFmtId="0" fontId="9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88"/>
  <sheetViews>
    <sheetView tabSelected="1" topLeftCell="K1" workbookViewId="0">
      <selection activeCell="E22" sqref="E22"/>
    </sheetView>
  </sheetViews>
  <sheetFormatPr defaultColWidth="12.6328125" defaultRowHeight="15" customHeight="1" x14ac:dyDescent="0.25"/>
  <cols>
    <col min="3" max="3" width="28.90625" customWidth="1"/>
    <col min="5" max="5" width="7.6328125" customWidth="1"/>
    <col min="6" max="6" width="6.90625" bestFit="1" customWidth="1"/>
    <col min="7" max="7" width="23.7265625" customWidth="1"/>
    <col min="8" max="8" width="34.26953125" bestFit="1" customWidth="1"/>
  </cols>
  <sheetData>
    <row r="1" spans="1:30" ht="14.5" x14ac:dyDescent="0.35">
      <c r="A1" s="1" t="s">
        <v>0</v>
      </c>
      <c r="B1" s="5">
        <f>SUM(COUNTIF(J11:J40,"W"),COUNTIF(J11:J40,"D"),COUNTIF(J11:J40,"L"))</f>
        <v>9</v>
      </c>
      <c r="C1" s="6"/>
      <c r="D1" s="7">
        <v>123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4.5" x14ac:dyDescent="0.35">
      <c r="A2" s="9" t="s">
        <v>12</v>
      </c>
      <c r="B2" s="10">
        <f>COUNTIF(J11:J40,"W")</f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14.5" x14ac:dyDescent="0.35">
      <c r="A3" s="9" t="s">
        <v>13</v>
      </c>
      <c r="B3" s="10">
        <f>COUNTIF(J11:J40,"L")</f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4.5" x14ac:dyDescent="0.35">
      <c r="A4" s="9" t="s">
        <v>14</v>
      </c>
      <c r="B4" s="10">
        <f>COUNTIF(J11:J40,"D")</f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4.5" x14ac:dyDescent="0.35">
      <c r="A5" s="9" t="s">
        <v>15</v>
      </c>
      <c r="B5" s="10">
        <f>B2*3+B4</f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14.5" x14ac:dyDescent="0.35">
      <c r="A6" s="9" t="s">
        <v>16</v>
      </c>
      <c r="B6" s="10">
        <f>B7-B8</f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14.5" x14ac:dyDescent="0.35">
      <c r="A7" s="9" t="s">
        <v>17</v>
      </c>
      <c r="B7" s="10">
        <f>SUM(K11:K40)</f>
        <v>32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14.5" x14ac:dyDescent="0.35">
      <c r="A8" s="12" t="s">
        <v>18</v>
      </c>
      <c r="B8" s="13">
        <f>SUM(L11:L40)</f>
        <v>31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ht="12.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4"/>
      <c r="O9" s="14"/>
      <c r="P9" s="14"/>
      <c r="Q9" s="6"/>
      <c r="R9" s="6"/>
      <c r="S9" s="6"/>
      <c r="T9" s="6"/>
      <c r="U9" s="6"/>
      <c r="V9" s="6"/>
      <c r="W9" s="14"/>
      <c r="X9" s="14"/>
      <c r="Y9" s="14"/>
      <c r="Z9" s="6"/>
      <c r="AA9" s="6"/>
      <c r="AB9" s="6"/>
      <c r="AC9" s="6"/>
      <c r="AD9" s="6"/>
    </row>
    <row r="10" spans="1:30" ht="14.5" x14ac:dyDescent="0.35">
      <c r="A10" s="15" t="s">
        <v>19</v>
      </c>
      <c r="B10" s="15" t="s">
        <v>20</v>
      </c>
      <c r="C10" s="15" t="s">
        <v>21</v>
      </c>
      <c r="D10" s="16" t="s">
        <v>22</v>
      </c>
      <c r="E10" s="16" t="s">
        <v>23</v>
      </c>
      <c r="F10" s="15" t="s">
        <v>24</v>
      </c>
      <c r="G10" s="16" t="s">
        <v>25</v>
      </c>
      <c r="H10" s="15" t="s">
        <v>26</v>
      </c>
      <c r="I10" s="16" t="s">
        <v>27</v>
      </c>
      <c r="J10" s="15" t="s">
        <v>28</v>
      </c>
      <c r="K10" s="16" t="s">
        <v>17</v>
      </c>
      <c r="L10" s="16" t="s">
        <v>29</v>
      </c>
      <c r="M10" s="16" t="s">
        <v>30</v>
      </c>
      <c r="N10" s="4" t="s">
        <v>1</v>
      </c>
      <c r="O10" s="4" t="s">
        <v>2</v>
      </c>
      <c r="P10" s="4" t="s">
        <v>3</v>
      </c>
      <c r="Q10" s="4" t="s">
        <v>4</v>
      </c>
      <c r="R10" s="4" t="s">
        <v>5</v>
      </c>
      <c r="S10" s="4" t="s">
        <v>6</v>
      </c>
      <c r="T10" s="4" t="s">
        <v>7</v>
      </c>
      <c r="U10" s="4" t="s">
        <v>8</v>
      </c>
      <c r="V10" s="4" t="s">
        <v>9</v>
      </c>
      <c r="W10" s="8" t="s">
        <v>44</v>
      </c>
      <c r="X10" s="8" t="s">
        <v>62</v>
      </c>
      <c r="Y10" s="8" t="s">
        <v>63</v>
      </c>
      <c r="AD10" s="6"/>
    </row>
    <row r="11" spans="1:30" ht="14.5" x14ac:dyDescent="0.35">
      <c r="A11" s="17">
        <f>IF(ISBLANK(B11),"",1)</f>
        <v>1</v>
      </c>
      <c r="B11" s="18">
        <v>1</v>
      </c>
      <c r="C11" s="19" t="s">
        <v>31</v>
      </c>
      <c r="D11" s="20">
        <v>46256</v>
      </c>
      <c r="E11" s="21">
        <v>0.55555555555555558</v>
      </c>
      <c r="F11" s="22"/>
      <c r="G11" t="s">
        <v>47</v>
      </c>
      <c r="H11" s="18" t="s">
        <v>31</v>
      </c>
      <c r="I11" s="18" t="s">
        <v>32</v>
      </c>
      <c r="J11" s="17" t="str">
        <f>IF(AND(NOT(ISBLANK(K11)),NOT(ISBLANK(L11))),IF(K11&gt;L11,"W",IF(K11&lt;L11,"L","D")),"")</f>
        <v>D</v>
      </c>
      <c r="K11" s="24" cm="1">
        <f t="array" ref="K11">IF(L11&lt;&gt;"", SUMPRODUCT(MID(N11:Y11,5,1)*1), "")</f>
        <v>0</v>
      </c>
      <c r="L11" s="18">
        <v>0</v>
      </c>
      <c r="M11" s="24" cm="1">
        <f t="array" ref="M11">IF(L11&lt;&gt;"", SUMPRODUCT(LEFT(N11:Y11,1)*1), "")</f>
        <v>8</v>
      </c>
      <c r="N11" s="6" t="s">
        <v>45</v>
      </c>
      <c r="O11" s="6" t="s">
        <v>46</v>
      </c>
      <c r="P11" s="6" t="s">
        <v>46</v>
      </c>
      <c r="Q11" s="6" t="s">
        <v>46</v>
      </c>
      <c r="R11" s="6" t="s">
        <v>46</v>
      </c>
      <c r="S11" s="6" t="s">
        <v>46</v>
      </c>
      <c r="T11" s="6" t="s">
        <v>45</v>
      </c>
      <c r="U11" s="6" t="s">
        <v>46</v>
      </c>
      <c r="V11" s="6" t="s">
        <v>46</v>
      </c>
      <c r="W11" s="6" t="s">
        <v>46</v>
      </c>
      <c r="X11" s="6" t="s">
        <v>45</v>
      </c>
      <c r="Y11" s="6" t="s">
        <v>45</v>
      </c>
      <c r="AD11" s="6"/>
    </row>
    <row r="12" spans="1:30" ht="14.5" x14ac:dyDescent="0.35">
      <c r="A12" s="17">
        <f t="shared" ref="A12:A40" si="0">IF(ISBLANK(B12),"",A11+1)</f>
        <v>2</v>
      </c>
      <c r="B12" s="18">
        <v>1</v>
      </c>
      <c r="C12" s="19" t="s">
        <v>31</v>
      </c>
      <c r="D12" s="20">
        <v>46256</v>
      </c>
      <c r="E12" s="21">
        <v>0.59722222222222221</v>
      </c>
      <c r="F12" s="22"/>
      <c r="G12" t="s">
        <v>51</v>
      </c>
      <c r="H12" s="18" t="s">
        <v>31</v>
      </c>
      <c r="I12" s="18" t="s">
        <v>32</v>
      </c>
      <c r="J12" s="17" t="str">
        <f t="shared" ref="J12:J13" si="1">IF(AND(NOT(ISBLANK(K12)),NOT(ISBLANK(L12))),IF(K12&gt;L12,"W",IF(K12&lt;L12,"L","D")),"")</f>
        <v>W</v>
      </c>
      <c r="K12" s="24" cm="1">
        <f t="array" ref="K12">IF(L12&lt;&gt;"", SUMPRODUCT(MID(N12:Y12,5,1)*1), "")</f>
        <v>1</v>
      </c>
      <c r="L12" s="18">
        <v>0</v>
      </c>
      <c r="M12" s="24" cm="1">
        <f t="array" ref="M12">IF(L12&lt;&gt;"", SUMPRODUCT(LEFT(N12:Y12,1)*1), "")</f>
        <v>8</v>
      </c>
      <c r="N12" s="6" t="s">
        <v>46</v>
      </c>
      <c r="O12" s="6" t="s">
        <v>46</v>
      </c>
      <c r="P12" s="6" t="s">
        <v>46</v>
      </c>
      <c r="Q12" s="6" t="s">
        <v>46</v>
      </c>
      <c r="R12" s="6" t="s">
        <v>46</v>
      </c>
      <c r="S12" s="6" t="s">
        <v>46</v>
      </c>
      <c r="T12" s="6" t="s">
        <v>45</v>
      </c>
      <c r="U12" s="6" t="s">
        <v>46</v>
      </c>
      <c r="V12" s="6" t="s">
        <v>48</v>
      </c>
      <c r="W12" s="6" t="s">
        <v>45</v>
      </c>
      <c r="X12" s="6" t="s">
        <v>45</v>
      </c>
      <c r="Y12" s="6" t="s">
        <v>45</v>
      </c>
      <c r="AD12" s="6"/>
    </row>
    <row r="13" spans="1:30" ht="14.5" x14ac:dyDescent="0.35">
      <c r="A13" s="17">
        <f t="shared" si="0"/>
        <v>3</v>
      </c>
      <c r="B13" s="18">
        <v>1</v>
      </c>
      <c r="C13" s="19" t="s">
        <v>31</v>
      </c>
      <c r="D13" s="20">
        <v>46256</v>
      </c>
      <c r="E13" s="21">
        <v>0.63888888888888884</v>
      </c>
      <c r="F13" s="22"/>
      <c r="G13" t="s">
        <v>50</v>
      </c>
      <c r="H13" s="18" t="s">
        <v>31</v>
      </c>
      <c r="I13" s="18" t="s">
        <v>32</v>
      </c>
      <c r="J13" s="17" t="str">
        <f t="shared" si="1"/>
        <v>W</v>
      </c>
      <c r="K13" s="24" cm="1">
        <f t="array" ref="K13">IF(L13&lt;&gt;"", SUMPRODUCT(MID(N13:Y13,5,1)*1), "")</f>
        <v>8</v>
      </c>
      <c r="L13" s="18">
        <v>0</v>
      </c>
      <c r="M13" s="24" cm="1">
        <f t="array" ref="M13">IF(L13&lt;&gt;"", SUMPRODUCT(LEFT(N13:Y13,1)*1), "")</f>
        <v>8</v>
      </c>
      <c r="N13" s="8" t="s">
        <v>46</v>
      </c>
      <c r="O13" s="8" t="s">
        <v>49</v>
      </c>
      <c r="P13" s="8" t="s">
        <v>49</v>
      </c>
      <c r="Q13" s="8" t="s">
        <v>49</v>
      </c>
      <c r="R13" s="8" t="s">
        <v>48</v>
      </c>
      <c r="S13" s="8" t="s">
        <v>46</v>
      </c>
      <c r="T13" s="8" t="s">
        <v>45</v>
      </c>
      <c r="U13" s="8" t="s">
        <v>48</v>
      </c>
      <c r="V13" s="8" t="s">
        <v>46</v>
      </c>
      <c r="W13" s="8" t="s">
        <v>45</v>
      </c>
      <c r="X13" s="8" t="s">
        <v>45</v>
      </c>
      <c r="Y13" s="8" t="s">
        <v>45</v>
      </c>
      <c r="AD13" s="6"/>
    </row>
    <row r="14" spans="1:30" ht="14.5" x14ac:dyDescent="0.35">
      <c r="A14" s="17">
        <f t="shared" si="0"/>
        <v>4</v>
      </c>
      <c r="B14" s="18">
        <v>1</v>
      </c>
      <c r="C14" s="19" t="s">
        <v>31</v>
      </c>
      <c r="D14" s="20">
        <v>46256</v>
      </c>
      <c r="E14" s="21">
        <v>0.68055555555555558</v>
      </c>
      <c r="F14" s="22"/>
      <c r="G14" t="s">
        <v>52</v>
      </c>
      <c r="H14" s="18" t="s">
        <v>31</v>
      </c>
      <c r="I14" s="18" t="s">
        <v>32</v>
      </c>
      <c r="J14" s="17" t="str">
        <f t="shared" ref="J14:J40" si="2">IF(AND(NOT(ISBLANK(K14)),NOT(ISBLANK(L14))),IF(K14&gt;L14,"W",IF(K14&lt;L14,"L","D")),"")</f>
        <v>L</v>
      </c>
      <c r="K14" s="24" cm="1">
        <f t="array" ref="K14">IF(L14&lt;&gt;"", SUMPRODUCT(MID(N14:Y14,5,1)*1), "")</f>
        <v>0</v>
      </c>
      <c r="L14" s="18">
        <v>1</v>
      </c>
      <c r="M14" s="24" cm="1">
        <f t="array" ref="M14">IF(L14&lt;&gt;"", SUMPRODUCT(LEFT(N14:Y14,1)*1), "")</f>
        <v>8</v>
      </c>
      <c r="N14" s="8" t="s">
        <v>46</v>
      </c>
      <c r="O14" s="8" t="s">
        <v>46</v>
      </c>
      <c r="P14" s="8" t="s">
        <v>46</v>
      </c>
      <c r="Q14" s="8" t="s">
        <v>46</v>
      </c>
      <c r="R14" s="8" t="s">
        <v>46</v>
      </c>
      <c r="S14" s="8" t="s">
        <v>46</v>
      </c>
      <c r="T14" s="8" t="s">
        <v>45</v>
      </c>
      <c r="U14" s="8" t="s">
        <v>46</v>
      </c>
      <c r="V14" s="8" t="s">
        <v>46</v>
      </c>
      <c r="W14" s="8" t="s">
        <v>45</v>
      </c>
      <c r="X14" s="8" t="s">
        <v>45</v>
      </c>
      <c r="Y14" s="8" t="s">
        <v>45</v>
      </c>
      <c r="AD14" s="6"/>
    </row>
    <row r="15" spans="1:30" ht="28.5" x14ac:dyDescent="0.35">
      <c r="A15" s="17">
        <f t="shared" si="0"/>
        <v>5</v>
      </c>
      <c r="B15" s="18">
        <v>1</v>
      </c>
      <c r="C15" s="19" t="s">
        <v>36</v>
      </c>
      <c r="D15" s="20">
        <v>46270</v>
      </c>
      <c r="E15" s="21">
        <v>0.42708333333333331</v>
      </c>
      <c r="F15" s="18"/>
      <c r="G15" s="28" t="s">
        <v>53</v>
      </c>
      <c r="H15" s="29" t="s">
        <v>58</v>
      </c>
      <c r="I15" s="18" t="s">
        <v>32</v>
      </c>
      <c r="J15" s="17" t="str">
        <f t="shared" si="2"/>
        <v>L</v>
      </c>
      <c r="K15" s="24" cm="1">
        <f t="array" ref="K15">IF(L15&lt;&gt;"", SUMPRODUCT(MID(N15:Y15,5,1)*1), "")</f>
        <v>2</v>
      </c>
      <c r="L15" s="18">
        <v>7</v>
      </c>
      <c r="M15" s="24" cm="1">
        <f t="array" ref="M15">IF(L15&lt;&gt;"", SUMPRODUCT(LEFT(N15:Y15,1)*1), "")</f>
        <v>9</v>
      </c>
      <c r="N15" s="6" t="s">
        <v>46</v>
      </c>
      <c r="O15" s="6" t="s">
        <v>48</v>
      </c>
      <c r="P15" s="6" t="s">
        <v>60</v>
      </c>
      <c r="Q15" s="6" t="s">
        <v>48</v>
      </c>
      <c r="R15" s="6" t="s">
        <v>46</v>
      </c>
      <c r="S15" s="6" t="s">
        <v>46</v>
      </c>
      <c r="T15" s="6" t="s">
        <v>46</v>
      </c>
      <c r="U15" s="6" t="s">
        <v>60</v>
      </c>
      <c r="V15" s="6" t="s">
        <v>61</v>
      </c>
      <c r="W15" s="6" t="s">
        <v>45</v>
      </c>
      <c r="X15" s="6" t="s">
        <v>45</v>
      </c>
      <c r="Y15" s="6" t="s">
        <v>45</v>
      </c>
      <c r="AD15" s="6"/>
    </row>
    <row r="16" spans="1:30" ht="16.5" customHeight="1" x14ac:dyDescent="0.35">
      <c r="A16" s="17">
        <f t="shared" si="0"/>
        <v>6</v>
      </c>
      <c r="B16" s="18">
        <v>1</v>
      </c>
      <c r="C16" s="2" t="s">
        <v>73</v>
      </c>
      <c r="D16" s="20">
        <v>46277</v>
      </c>
      <c r="E16" s="21">
        <v>0.375</v>
      </c>
      <c r="F16" s="18"/>
      <c r="G16" t="s">
        <v>54</v>
      </c>
      <c r="H16" s="18" t="s">
        <v>59</v>
      </c>
      <c r="I16" s="18" t="s">
        <v>37</v>
      </c>
      <c r="J16" s="17" t="str">
        <f t="shared" si="2"/>
        <v>W</v>
      </c>
      <c r="K16" s="24" cm="1">
        <f t="array" ref="K16">IF(L16&lt;&gt;"", SUMPRODUCT(MID(N16:Y16,5,1)*1), "")</f>
        <v>10</v>
      </c>
      <c r="L16" s="18">
        <v>3</v>
      </c>
      <c r="M16" s="24" cm="1">
        <f t="array" ref="M16">IF(L16&lt;&gt;"", SUMPRODUCT(LEFT(N16:Y16,1)*1), "")</f>
        <v>9</v>
      </c>
      <c r="N16" s="6" t="s">
        <v>46</v>
      </c>
      <c r="O16" s="6" t="s">
        <v>64</v>
      </c>
      <c r="P16" s="6" t="s">
        <v>65</v>
      </c>
      <c r="Q16" s="6" t="s">
        <v>45</v>
      </c>
      <c r="R16" s="6" t="s">
        <v>45</v>
      </c>
      <c r="S16" s="6" t="s">
        <v>46</v>
      </c>
      <c r="T16" s="6" t="s">
        <v>48</v>
      </c>
      <c r="U16" s="6" t="s">
        <v>66</v>
      </c>
      <c r="V16" s="6" t="s">
        <v>67</v>
      </c>
      <c r="W16" s="6" t="s">
        <v>45</v>
      </c>
      <c r="X16" s="6" t="s">
        <v>67</v>
      </c>
      <c r="Y16" s="6" t="s">
        <v>49</v>
      </c>
      <c r="AD16" s="6"/>
    </row>
    <row r="17" spans="1:30" ht="14.5" x14ac:dyDescent="0.35">
      <c r="A17" s="17">
        <f t="shared" si="0"/>
        <v>7</v>
      </c>
      <c r="B17" s="18">
        <v>1</v>
      </c>
      <c r="C17" s="19" t="s">
        <v>36</v>
      </c>
      <c r="D17" s="20">
        <v>46284</v>
      </c>
      <c r="E17" s="21">
        <v>0.35416666666666669</v>
      </c>
      <c r="F17" s="18"/>
      <c r="G17" t="s">
        <v>55</v>
      </c>
      <c r="H17" s="18" t="s">
        <v>68</v>
      </c>
      <c r="I17" s="18" t="s">
        <v>32</v>
      </c>
      <c r="J17" s="17" t="str">
        <f t="shared" si="2"/>
        <v>L</v>
      </c>
      <c r="K17" s="24" cm="1">
        <f t="array" ref="K17">IF(L17&lt;&gt;"", SUMPRODUCT(MID(N17:Y17,5,1)*1), "")</f>
        <v>6</v>
      </c>
      <c r="L17" s="18">
        <v>10</v>
      </c>
      <c r="M17" s="24" cm="1">
        <f t="array" ref="M17">IF(L17&lt;&gt;"", SUMPRODUCT(LEFT(N17:Y17,1)*1), "")</f>
        <v>11</v>
      </c>
      <c r="N17" s="8" t="s">
        <v>46</v>
      </c>
      <c r="O17" s="8" t="s">
        <v>69</v>
      </c>
      <c r="P17" s="8" t="s">
        <v>67</v>
      </c>
      <c r="Q17" s="8" t="s">
        <v>70</v>
      </c>
      <c r="R17" s="8" t="s">
        <v>46</v>
      </c>
      <c r="S17" s="6" t="s">
        <v>70</v>
      </c>
      <c r="T17" s="8" t="s">
        <v>46</v>
      </c>
      <c r="U17" s="8" t="s">
        <v>71</v>
      </c>
      <c r="V17" s="8" t="s">
        <v>46</v>
      </c>
      <c r="W17" s="8" t="s">
        <v>45</v>
      </c>
      <c r="X17" s="8" t="s">
        <v>46</v>
      </c>
      <c r="Y17" s="8" t="s">
        <v>61</v>
      </c>
      <c r="AD17" s="6"/>
    </row>
    <row r="18" spans="1:30" ht="14.5" x14ac:dyDescent="0.35">
      <c r="A18" s="17">
        <f t="shared" si="0"/>
        <v>8</v>
      </c>
      <c r="B18" s="18">
        <v>1</v>
      </c>
      <c r="C18" s="19" t="s">
        <v>36</v>
      </c>
      <c r="D18" s="20">
        <v>46291</v>
      </c>
      <c r="E18" s="21">
        <v>0.375</v>
      </c>
      <c r="F18" s="18"/>
      <c r="G18" t="s">
        <v>56</v>
      </c>
      <c r="H18" s="18" t="s">
        <v>59</v>
      </c>
      <c r="I18" s="18" t="s">
        <v>37</v>
      </c>
      <c r="J18" s="17" t="str">
        <f t="shared" si="2"/>
        <v>L</v>
      </c>
      <c r="K18" s="24" cm="1">
        <f t="array" ref="K18">IF(L18&lt;&gt;"", SUMPRODUCT(MID(N18:Y18,5,1)*1), "")</f>
        <v>3</v>
      </c>
      <c r="L18" s="18">
        <v>5</v>
      </c>
      <c r="M18" s="24" cm="1">
        <f t="array" ref="M18">IF(L18&lt;&gt;"", SUMPRODUCT(LEFT(N18:Y18,1)*1), "")</f>
        <v>11</v>
      </c>
      <c r="N18" s="8" t="s">
        <v>46</v>
      </c>
      <c r="O18" s="8" t="s">
        <v>60</v>
      </c>
      <c r="P18" s="8" t="s">
        <v>48</v>
      </c>
      <c r="Q18" s="8" t="s">
        <v>60</v>
      </c>
      <c r="R18" s="8" t="s">
        <v>48</v>
      </c>
      <c r="S18" s="8" t="s">
        <v>46</v>
      </c>
      <c r="T18" s="8" t="s">
        <v>61</v>
      </c>
      <c r="U18" s="8" t="s">
        <v>48</v>
      </c>
      <c r="V18" s="8" t="s">
        <v>61</v>
      </c>
      <c r="W18" s="8" t="s">
        <v>45</v>
      </c>
      <c r="X18" s="8" t="s">
        <v>46</v>
      </c>
      <c r="Y18" s="8" t="s">
        <v>61</v>
      </c>
      <c r="AD18" s="6"/>
    </row>
    <row r="19" spans="1:30" ht="14.5" x14ac:dyDescent="0.35">
      <c r="A19" s="17">
        <f t="shared" ref="A19" si="3">IF(ISBLANK(B19),"",A18+1)</f>
        <v>9</v>
      </c>
      <c r="B19" s="18">
        <v>1</v>
      </c>
      <c r="C19" s="19" t="s">
        <v>36</v>
      </c>
      <c r="D19" s="20">
        <v>46298</v>
      </c>
      <c r="E19" s="21">
        <v>0.375</v>
      </c>
      <c r="F19" s="18"/>
      <c r="G19" t="s">
        <v>57</v>
      </c>
      <c r="H19" s="18" t="s">
        <v>59</v>
      </c>
      <c r="I19" s="18" t="s">
        <v>37</v>
      </c>
      <c r="J19" s="17" t="str">
        <f t="shared" si="2"/>
        <v>L</v>
      </c>
      <c r="K19" s="24" cm="1">
        <f t="array" ref="K19">IF(L19&lt;&gt;"", SUMPRODUCT(MID(N19:Y19,5,1)*1), "")</f>
        <v>2</v>
      </c>
      <c r="L19" s="18">
        <v>5</v>
      </c>
      <c r="M19" s="24" cm="1">
        <f t="array" ref="M19">IF(L19&lt;&gt;"", SUMPRODUCT(LEFT(N19:Y19,1)*1), "")</f>
        <v>11</v>
      </c>
      <c r="N19" s="8" t="s">
        <v>46</v>
      </c>
      <c r="O19" s="8" t="s">
        <v>46</v>
      </c>
      <c r="P19" s="8" t="s">
        <v>60</v>
      </c>
      <c r="Q19" s="8" t="s">
        <v>46</v>
      </c>
      <c r="R19" s="8" t="s">
        <v>46</v>
      </c>
      <c r="S19" s="8" t="s">
        <v>46</v>
      </c>
      <c r="T19" s="8" t="s">
        <v>72</v>
      </c>
      <c r="U19" s="8" t="s">
        <v>48</v>
      </c>
      <c r="V19" s="8" t="s">
        <v>61</v>
      </c>
      <c r="W19" s="8" t="s">
        <v>45</v>
      </c>
      <c r="X19" s="8" t="s">
        <v>46</v>
      </c>
      <c r="Y19" s="8" t="s">
        <v>61</v>
      </c>
      <c r="AD19" s="6"/>
    </row>
    <row r="20" spans="1:30" ht="14.5" x14ac:dyDescent="0.35">
      <c r="A20" s="17">
        <f t="shared" si="0"/>
        <v>10</v>
      </c>
      <c r="B20" s="18">
        <v>1</v>
      </c>
      <c r="C20" s="2" t="s">
        <v>74</v>
      </c>
      <c r="D20" s="30">
        <v>46319</v>
      </c>
      <c r="E20" s="31">
        <v>0.35416666666666669</v>
      </c>
      <c r="F20" s="2"/>
      <c r="G20" s="2" t="s">
        <v>54</v>
      </c>
      <c r="H20" s="2" t="s">
        <v>81</v>
      </c>
      <c r="I20" s="2" t="s">
        <v>32</v>
      </c>
      <c r="J20" s="17" t="str">
        <f t="shared" si="2"/>
        <v/>
      </c>
      <c r="K20" s="24" t="str" cm="1">
        <f t="array" ref="K20">IF(L20&lt;&gt;"", SUMPRODUCT(MID(N20:Y20,5,1)*1), "")</f>
        <v/>
      </c>
      <c r="L20" s="18"/>
      <c r="M20" s="24" t="str" cm="1">
        <f t="array" ref="M20">IF(L20&lt;&gt;"", SUMPRODUCT(LEFT(N20:Y20,1)*1), "")</f>
        <v/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AD20" s="6"/>
    </row>
    <row r="21" spans="1:30" ht="14.5" x14ac:dyDescent="0.35">
      <c r="A21" s="17">
        <f t="shared" si="0"/>
        <v>11</v>
      </c>
      <c r="B21" s="18">
        <v>1</v>
      </c>
      <c r="C21" s="2" t="s">
        <v>74</v>
      </c>
      <c r="D21" s="30">
        <v>46326</v>
      </c>
      <c r="E21" s="31">
        <v>0.375</v>
      </c>
      <c r="F21" s="2"/>
      <c r="G21" s="2" t="s">
        <v>75</v>
      </c>
      <c r="H21" s="18" t="s">
        <v>59</v>
      </c>
      <c r="I21" s="2" t="s">
        <v>37</v>
      </c>
      <c r="J21" s="17" t="str">
        <f t="shared" si="2"/>
        <v/>
      </c>
      <c r="K21" s="24" t="str" cm="1">
        <f t="array" ref="K21">IF(L21&lt;&gt;"", SUMPRODUCT(MID(N21:Y21,5,1)*1), "")</f>
        <v/>
      </c>
      <c r="L21" s="18"/>
      <c r="M21" s="24" t="str" cm="1">
        <f t="array" ref="M21">IF(L21&lt;&gt;"", SUMPRODUCT(LEFT(N21:Y21,1)*1), "")</f>
        <v/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AD21" s="6"/>
    </row>
    <row r="22" spans="1:30" ht="14.5" x14ac:dyDescent="0.35">
      <c r="A22" s="17">
        <f t="shared" si="0"/>
        <v>12</v>
      </c>
      <c r="B22" s="18">
        <v>1</v>
      </c>
      <c r="C22" s="2" t="s">
        <v>74</v>
      </c>
      <c r="D22" s="30">
        <v>46333</v>
      </c>
      <c r="E22" s="31">
        <v>0.45833333333333331</v>
      </c>
      <c r="F22" s="2"/>
      <c r="G22" s="2" t="s">
        <v>76</v>
      </c>
      <c r="H22" s="2" t="s">
        <v>82</v>
      </c>
      <c r="I22" s="2" t="s">
        <v>32</v>
      </c>
      <c r="J22" s="17" t="str">
        <f t="shared" si="2"/>
        <v/>
      </c>
      <c r="K22" s="24" t="str" cm="1">
        <f t="array" ref="K22">IF(L22&lt;&gt;"", SUMPRODUCT(MID(N22:Y22,5,1)*1), "")</f>
        <v/>
      </c>
      <c r="L22" s="18"/>
      <c r="M22" s="24" t="str" cm="1">
        <f t="array" ref="M22">IF(L22&lt;&gt;"", SUMPRODUCT(LEFT(N22:Y22,1)*1), "")</f>
        <v/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AD22" s="6"/>
    </row>
    <row r="23" spans="1:30" ht="14.5" x14ac:dyDescent="0.35">
      <c r="A23" s="17">
        <f t="shared" si="0"/>
        <v>13</v>
      </c>
      <c r="B23" s="18">
        <v>1</v>
      </c>
      <c r="C23" s="2" t="s">
        <v>74</v>
      </c>
      <c r="D23" s="30">
        <v>46340</v>
      </c>
      <c r="E23" s="31">
        <v>0.44791666666666669</v>
      </c>
      <c r="F23" s="2"/>
      <c r="G23" s="2" t="s">
        <v>77</v>
      </c>
      <c r="H23" s="18" t="s">
        <v>59</v>
      </c>
      <c r="I23" s="2" t="s">
        <v>37</v>
      </c>
      <c r="J23" s="17" t="str">
        <f t="shared" si="2"/>
        <v/>
      </c>
      <c r="K23" s="24" t="str" cm="1">
        <f t="array" ref="K23">IF(L23&lt;&gt;"", SUMPRODUCT(MID(N23:Y23,5,1)*1), "")</f>
        <v/>
      </c>
      <c r="L23" s="18"/>
      <c r="M23" s="24" t="str" cm="1">
        <f t="array" ref="M23">IF(L23&lt;&gt;"", SUMPRODUCT(LEFT(N23:Y23,1)*1), "")</f>
        <v/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AD23" s="6"/>
    </row>
    <row r="24" spans="1:30" ht="14.5" x14ac:dyDescent="0.35">
      <c r="A24" s="17">
        <f t="shared" si="0"/>
        <v>14</v>
      </c>
      <c r="B24" s="18">
        <v>1</v>
      </c>
      <c r="C24" s="2" t="s">
        <v>74</v>
      </c>
      <c r="D24" s="30">
        <v>46347</v>
      </c>
      <c r="E24" s="31">
        <v>0.35416666666666669</v>
      </c>
      <c r="F24" s="2"/>
      <c r="G24" s="2" t="s">
        <v>78</v>
      </c>
      <c r="H24" s="2" t="s">
        <v>83</v>
      </c>
      <c r="I24" s="2" t="s">
        <v>32</v>
      </c>
      <c r="J24" s="17" t="str">
        <f t="shared" si="2"/>
        <v/>
      </c>
      <c r="K24" s="24" t="str" cm="1">
        <f t="array" ref="K24">IF(L24&lt;&gt;"", SUMPRODUCT(MID(N24:Y24,5,1)*1), "")</f>
        <v/>
      </c>
      <c r="L24" s="18"/>
      <c r="M24" s="24" t="str" cm="1">
        <f t="array" ref="M24">IF(L24&lt;&gt;"", SUMPRODUCT(LEFT(N24:Y24,1)*1), "")</f>
        <v/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AD24" s="6"/>
    </row>
    <row r="25" spans="1:30" ht="14.5" x14ac:dyDescent="0.35">
      <c r="A25" s="17">
        <f t="shared" si="0"/>
        <v>15</v>
      </c>
      <c r="B25" s="18">
        <v>1</v>
      </c>
      <c r="C25" s="2" t="s">
        <v>74</v>
      </c>
      <c r="D25" s="30">
        <v>46354</v>
      </c>
      <c r="E25" s="31">
        <v>0.44791666666666669</v>
      </c>
      <c r="F25" s="2"/>
      <c r="G25" s="2" t="s">
        <v>79</v>
      </c>
      <c r="H25" s="18" t="s">
        <v>59</v>
      </c>
      <c r="I25" s="2" t="s">
        <v>37</v>
      </c>
      <c r="J25" s="17" t="str">
        <f t="shared" si="2"/>
        <v/>
      </c>
      <c r="K25" s="24" t="str" cm="1">
        <f t="array" ref="K25">IF(L25&lt;&gt;"", SUMPRODUCT(MID(N25:Y25,5,1)*1), "")</f>
        <v/>
      </c>
      <c r="L25" s="18"/>
      <c r="M25" s="24" t="str" cm="1">
        <f t="array" ref="M25">IF(L25&lt;&gt;"", SUMPRODUCT(LEFT(N25:Y25,1)*1), "")</f>
        <v/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AD25" s="6"/>
    </row>
    <row r="26" spans="1:30" ht="14.5" x14ac:dyDescent="0.35">
      <c r="A26" s="17">
        <f t="shared" si="0"/>
        <v>16</v>
      </c>
      <c r="B26" s="18">
        <v>1</v>
      </c>
      <c r="C26" s="2" t="s">
        <v>74</v>
      </c>
      <c r="D26" s="30">
        <v>46361</v>
      </c>
      <c r="E26" s="31">
        <v>0.35416666666666669</v>
      </c>
      <c r="F26" s="2"/>
      <c r="G26" s="2" t="s">
        <v>80</v>
      </c>
      <c r="H26" s="2" t="s">
        <v>84</v>
      </c>
      <c r="I26" s="2" t="s">
        <v>32</v>
      </c>
      <c r="J26" s="17" t="str">
        <f t="shared" si="2"/>
        <v/>
      </c>
      <c r="K26" s="24" t="str" cm="1">
        <f t="array" ref="K26">IF(L26&lt;&gt;"", SUMPRODUCT(MID(N26:Y26,5,1)*1), "")</f>
        <v/>
      </c>
      <c r="L26" s="18"/>
      <c r="M26" s="24" t="str" cm="1">
        <f t="array" ref="M26">IF(L26&lt;&gt;"", SUMPRODUCT(LEFT(N26:Y26,1)*1), "")</f>
        <v/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AD26" s="6"/>
    </row>
    <row r="27" spans="1:30" ht="14.5" x14ac:dyDescent="0.35">
      <c r="A27" s="17" t="str">
        <f t="shared" si="0"/>
        <v/>
      </c>
      <c r="B27" s="2"/>
      <c r="C27" s="2"/>
      <c r="D27" s="30"/>
      <c r="E27" s="2"/>
      <c r="F27" s="2"/>
      <c r="G27" s="2"/>
      <c r="H27" s="2"/>
      <c r="I27" s="2"/>
      <c r="J27" s="17" t="str">
        <f t="shared" si="2"/>
        <v/>
      </c>
      <c r="K27" s="24" t="str" cm="1">
        <f t="array" ref="K27">IF(L27&lt;&gt;"", SUMPRODUCT(MID(N27:Y27,5,1)*1), "")</f>
        <v/>
      </c>
      <c r="L27" s="18"/>
      <c r="M27" s="24" t="str" cm="1">
        <f t="array" ref="M27">IF(L27&lt;&gt;"", SUMPRODUCT(LEFT(N27:Y27,1)*1), "")</f>
        <v/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AD27" s="6"/>
    </row>
    <row r="28" spans="1:30" ht="14.5" x14ac:dyDescent="0.35">
      <c r="A28" s="17" t="str">
        <f t="shared" si="0"/>
        <v/>
      </c>
      <c r="B28" s="2"/>
      <c r="C28" s="2"/>
      <c r="D28" s="2"/>
      <c r="E28" s="2"/>
      <c r="F28" s="2"/>
      <c r="G28" s="2"/>
      <c r="H28" s="2"/>
      <c r="I28" s="2"/>
      <c r="J28" s="17" t="str">
        <f t="shared" si="2"/>
        <v/>
      </c>
      <c r="K28" s="24" t="str" cm="1">
        <f t="array" ref="K28">IF(L28&lt;&gt;"", SUMPRODUCT(MID(N28:Y28,5,1)*1), "")</f>
        <v/>
      </c>
      <c r="L28" s="18"/>
      <c r="M28" s="24" t="str" cm="1">
        <f t="array" ref="M28">IF(L28&lt;&gt;"", SUMPRODUCT(LEFT(N28:Y28,1)*1), "")</f>
        <v/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AD28" s="6"/>
    </row>
    <row r="29" spans="1:30" ht="14.5" x14ac:dyDescent="0.35">
      <c r="A29" s="17" t="str">
        <f t="shared" si="0"/>
        <v/>
      </c>
      <c r="B29" s="2"/>
      <c r="C29" s="2"/>
      <c r="D29" s="2"/>
      <c r="E29" s="2"/>
      <c r="F29" s="2"/>
      <c r="G29" s="2"/>
      <c r="H29" s="2"/>
      <c r="I29" s="2"/>
      <c r="J29" s="17" t="str">
        <f t="shared" si="2"/>
        <v/>
      </c>
      <c r="K29" s="24" t="str" cm="1">
        <f t="array" ref="K29">IF(L29&lt;&gt;"", SUMPRODUCT(MID(N29:Y29,5,1)*1), "")</f>
        <v/>
      </c>
      <c r="L29" s="18"/>
      <c r="M29" s="24" t="str" cm="1">
        <f t="array" ref="M29">IF(L29&lt;&gt;"", SUMPRODUCT(LEFT(N29:Y29,1)*1), "")</f>
        <v/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AD29" s="6"/>
    </row>
    <row r="30" spans="1:30" ht="14.5" x14ac:dyDescent="0.35">
      <c r="A30" s="17" t="str">
        <f t="shared" si="0"/>
        <v/>
      </c>
      <c r="B30" s="2"/>
      <c r="C30" s="2"/>
      <c r="D30" s="2"/>
      <c r="E30" s="2"/>
      <c r="F30" s="2"/>
      <c r="G30" s="2"/>
      <c r="H30" s="2"/>
      <c r="I30" s="2"/>
      <c r="J30" s="17" t="str">
        <f t="shared" si="2"/>
        <v/>
      </c>
      <c r="K30" s="24" t="str" cm="1">
        <f t="array" ref="K30">IF(L30&lt;&gt;"", SUMPRODUCT(MID(N30:Y30,5,1)*1), "")</f>
        <v/>
      </c>
      <c r="L30" s="18"/>
      <c r="M30" s="24" t="str" cm="1">
        <f t="array" ref="M30">IF(L30&lt;&gt;"", SUMPRODUCT(LEFT(N30:Y30,1)*1), "")</f>
        <v/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AD30" s="6"/>
    </row>
    <row r="31" spans="1:30" ht="14.5" x14ac:dyDescent="0.35">
      <c r="A31" s="17" t="str">
        <f t="shared" si="0"/>
        <v/>
      </c>
      <c r="B31" s="2"/>
      <c r="C31" s="2"/>
      <c r="D31" s="2"/>
      <c r="E31" s="2"/>
      <c r="F31" s="2"/>
      <c r="G31" s="2"/>
      <c r="H31" s="2"/>
      <c r="I31" s="2"/>
      <c r="J31" s="17" t="str">
        <f t="shared" si="2"/>
        <v/>
      </c>
      <c r="K31" s="24" t="str" cm="1">
        <f t="array" ref="K31">IF(L31&lt;&gt;"", SUMPRODUCT(MID(N31:Y31,5,1)*1), "")</f>
        <v/>
      </c>
      <c r="L31" s="18"/>
      <c r="M31" s="24" t="str" cm="1">
        <f t="array" ref="M31">IF(L31&lt;&gt;"", SUMPRODUCT(LEFT(N31:Y31,1)*1), "")</f>
        <v/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D31" s="6"/>
    </row>
    <row r="32" spans="1:30" ht="14.5" x14ac:dyDescent="0.35">
      <c r="A32" s="17" t="str">
        <f t="shared" si="0"/>
        <v/>
      </c>
      <c r="B32" s="2"/>
      <c r="C32" s="2"/>
      <c r="D32" s="2"/>
      <c r="E32" s="2"/>
      <c r="F32" s="2"/>
      <c r="G32" s="2"/>
      <c r="H32" s="2"/>
      <c r="I32" s="2"/>
      <c r="J32" s="17" t="str">
        <f t="shared" si="2"/>
        <v/>
      </c>
      <c r="K32" s="24" t="str" cm="1">
        <f t="array" ref="K32">IF(L32&lt;&gt;"", SUMPRODUCT(MID(N32:Y32,5,1)*1), "")</f>
        <v/>
      </c>
      <c r="L32" s="18"/>
      <c r="M32" s="24" t="str" cm="1">
        <f t="array" ref="M32">IF(L32&lt;&gt;"", SUMPRODUCT(LEFT(N32:Y32,1)*1), "")</f>
        <v/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D32" s="6"/>
    </row>
    <row r="33" spans="1:30" ht="14.5" x14ac:dyDescent="0.35">
      <c r="A33" s="17" t="str">
        <f t="shared" si="0"/>
        <v/>
      </c>
      <c r="B33" s="2"/>
      <c r="C33" s="2"/>
      <c r="D33" s="2"/>
      <c r="E33" s="2"/>
      <c r="F33" s="2"/>
      <c r="G33" s="2"/>
      <c r="H33" s="2"/>
      <c r="I33" s="2"/>
      <c r="J33" s="17" t="str">
        <f t="shared" si="2"/>
        <v/>
      </c>
      <c r="K33" s="24" t="str" cm="1">
        <f t="array" ref="K33">IF(L33&lt;&gt;"", SUMPRODUCT(MID(N33:Y33,5,1)*1), "")</f>
        <v/>
      </c>
      <c r="L33" s="18"/>
      <c r="M33" s="24" t="str" cm="1">
        <f t="array" ref="M33">IF(L33&lt;&gt;"", SUMPRODUCT(LEFT(N33:Y33,1)*1), "")</f>
        <v/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AD33" s="6"/>
    </row>
    <row r="34" spans="1:30" ht="14.5" x14ac:dyDescent="0.35">
      <c r="A34" s="17" t="str">
        <f t="shared" si="0"/>
        <v/>
      </c>
      <c r="B34" s="2"/>
      <c r="C34" s="2"/>
      <c r="D34" s="2"/>
      <c r="E34" s="2"/>
      <c r="F34" s="2"/>
      <c r="G34" s="2"/>
      <c r="H34" s="2"/>
      <c r="I34" s="2"/>
      <c r="J34" s="17" t="str">
        <f t="shared" si="2"/>
        <v/>
      </c>
      <c r="K34" s="24" t="str" cm="1">
        <f t="array" ref="K34">IF(L34&lt;&gt;"", SUMPRODUCT(MID(N34:Y34,5,1)*1), "")</f>
        <v/>
      </c>
      <c r="L34" s="18"/>
      <c r="M34" s="24" t="str" cm="1">
        <f t="array" ref="M34">IF(L34&lt;&gt;"", SUMPRODUCT(LEFT(N34:Y34,1)*1), "")</f>
        <v/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AD34" s="6"/>
    </row>
    <row r="35" spans="1:30" ht="14.5" x14ac:dyDescent="0.35">
      <c r="A35" s="17" t="str">
        <f t="shared" si="0"/>
        <v/>
      </c>
      <c r="B35" s="2"/>
      <c r="C35" s="2"/>
      <c r="D35" s="2"/>
      <c r="E35" s="2"/>
      <c r="F35" s="2"/>
      <c r="G35" s="2"/>
      <c r="H35" s="2"/>
      <c r="I35" s="2"/>
      <c r="J35" s="17" t="str">
        <f t="shared" si="2"/>
        <v/>
      </c>
      <c r="K35" s="24" t="str" cm="1">
        <f t="array" ref="K35">IF(L35&lt;&gt;"", SUMPRODUCT(MID(N35:Y35,5,1)*1), "")</f>
        <v/>
      </c>
      <c r="L35" s="18"/>
      <c r="M35" s="24" t="str" cm="1">
        <f t="array" ref="M35">IF(L35&lt;&gt;"", SUMPRODUCT(LEFT(N35:Y35,1)*1), "")</f>
        <v/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AD35" s="6"/>
    </row>
    <row r="36" spans="1:30" ht="14.5" x14ac:dyDescent="0.35">
      <c r="A36" s="17" t="str">
        <f t="shared" si="0"/>
        <v/>
      </c>
      <c r="B36" s="2"/>
      <c r="C36" s="2"/>
      <c r="D36" s="2"/>
      <c r="E36" s="2"/>
      <c r="F36" s="2"/>
      <c r="G36" s="2"/>
      <c r="H36" s="2"/>
      <c r="I36" s="2"/>
      <c r="J36" s="17" t="str">
        <f t="shared" si="2"/>
        <v/>
      </c>
      <c r="K36" s="24" t="str" cm="1">
        <f t="array" ref="K36">IF(L36&lt;&gt;"", SUMPRODUCT(MID(N36:Y36,5,1)*1), "")</f>
        <v/>
      </c>
      <c r="L36" s="18"/>
      <c r="M36" s="24" t="str" cm="1">
        <f t="array" ref="M36">IF(L36&lt;&gt;"", SUMPRODUCT(LEFT(N36:Y36,1)*1), "")</f>
        <v/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AD36" s="6"/>
    </row>
    <row r="37" spans="1:30" ht="14.5" x14ac:dyDescent="0.35">
      <c r="A37" s="17" t="str">
        <f t="shared" si="0"/>
        <v/>
      </c>
      <c r="B37" s="2"/>
      <c r="C37" s="2"/>
      <c r="D37" s="2"/>
      <c r="E37" s="2"/>
      <c r="F37" s="2"/>
      <c r="G37" s="2"/>
      <c r="H37" s="2"/>
      <c r="I37" s="2"/>
      <c r="J37" s="17" t="str">
        <f t="shared" si="2"/>
        <v/>
      </c>
      <c r="K37" s="24" t="str" cm="1">
        <f t="array" ref="K37">IF(L37&lt;&gt;"", SUMPRODUCT(MID(N37:Y37,5,1)*1), "")</f>
        <v/>
      </c>
      <c r="L37" s="18"/>
      <c r="M37" s="24" t="str" cm="1">
        <f t="array" ref="M37">IF(L37&lt;&gt;"", SUMPRODUCT(LEFT(N37:Y37,1)*1), "")</f>
        <v/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AD37" s="6"/>
    </row>
    <row r="38" spans="1:30" ht="14.5" x14ac:dyDescent="0.35">
      <c r="A38" s="17" t="str">
        <f t="shared" si="0"/>
        <v/>
      </c>
      <c r="B38" s="2"/>
      <c r="C38" s="2"/>
      <c r="D38" s="2"/>
      <c r="E38" s="2"/>
      <c r="F38" s="2"/>
      <c r="G38" s="2"/>
      <c r="H38" s="2"/>
      <c r="I38" s="2"/>
      <c r="J38" s="17" t="str">
        <f t="shared" si="2"/>
        <v/>
      </c>
      <c r="K38" s="24" t="str" cm="1">
        <f t="array" ref="K38">IF(L38&lt;&gt;"", SUMPRODUCT(MID(N38:Y38,5,1)*1), "")</f>
        <v/>
      </c>
      <c r="L38" s="18"/>
      <c r="M38" s="24" t="str" cm="1">
        <f t="array" ref="M38">IF(L38&lt;&gt;"", SUMPRODUCT(LEFT(N38:Y38,1)*1), "")</f>
        <v/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AD38" s="6"/>
    </row>
    <row r="39" spans="1:30" ht="14.5" x14ac:dyDescent="0.35">
      <c r="A39" s="17" t="str">
        <f t="shared" si="0"/>
        <v/>
      </c>
      <c r="B39" s="2"/>
      <c r="C39" s="2"/>
      <c r="D39" s="2"/>
      <c r="E39" s="2"/>
      <c r="F39" s="2"/>
      <c r="G39" s="2"/>
      <c r="H39" s="2"/>
      <c r="I39" s="2"/>
      <c r="J39" s="17" t="str">
        <f t="shared" si="2"/>
        <v/>
      </c>
      <c r="K39" s="24" t="str" cm="1">
        <f t="array" ref="K39">IF(L39&lt;&gt;"", SUMPRODUCT(MID(N39:Y39,5,1)*1), "")</f>
        <v/>
      </c>
      <c r="L39" s="18"/>
      <c r="M39" s="24" t="str" cm="1">
        <f t="array" ref="M39">IF(L39&lt;&gt;"", SUMPRODUCT(LEFT(N39:Y39,1)*1), "")</f>
        <v/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AD39" s="6"/>
    </row>
    <row r="40" spans="1:30" ht="14.5" x14ac:dyDescent="0.35">
      <c r="A40" s="17" t="str">
        <f t="shared" si="0"/>
        <v/>
      </c>
      <c r="B40" s="2"/>
      <c r="C40" s="2"/>
      <c r="D40" s="2"/>
      <c r="E40" s="2"/>
      <c r="F40" s="2"/>
      <c r="G40" s="2"/>
      <c r="H40" s="2"/>
      <c r="I40" s="2"/>
      <c r="J40" s="17" t="str">
        <f t="shared" si="2"/>
        <v/>
      </c>
      <c r="K40" s="24" t="str" cm="1">
        <f t="array" ref="K40">IF(L40&lt;&gt;"", SUMPRODUCT(MID(N40:Y40,5,1)*1), "")</f>
        <v/>
      </c>
      <c r="L40" s="18"/>
      <c r="M40" s="24" t="str" cm="1">
        <f t="array" ref="M40">IF(L40&lt;&gt;"", SUMPRODUCT(LEFT(N40:Y40,1)*1), "")</f>
        <v/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AD40" s="6"/>
    </row>
    <row r="41" spans="1:30" ht="12.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2.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2.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4" x14ac:dyDescent="0.3">
      <c r="A44" s="6"/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8" t="s">
        <v>44</v>
      </c>
      <c r="L44" s="8" t="s">
        <v>62</v>
      </c>
      <c r="M44" s="8" t="s">
        <v>63</v>
      </c>
      <c r="N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2.5" x14ac:dyDescent="0.25">
      <c r="A45" s="6" t="s">
        <v>41</v>
      </c>
      <c r="B45" s="6">
        <v>1</v>
      </c>
      <c r="C45" s="6">
        <v>1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0</v>
      </c>
      <c r="L45" s="6">
        <v>1</v>
      </c>
      <c r="M45" s="6">
        <v>1</v>
      </c>
      <c r="N45" s="27">
        <f t="shared" ref="N45:N48" si="4">SUM(B45:M45)</f>
        <v>11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2.5" x14ac:dyDescent="0.25">
      <c r="A46" s="6" t="s">
        <v>34</v>
      </c>
      <c r="B46" s="6">
        <v>1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  <c r="M46" s="6">
        <v>0</v>
      </c>
      <c r="N46" s="27">
        <f t="shared" si="4"/>
        <v>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2.5" x14ac:dyDescent="0.25">
      <c r="A47" s="6" t="s">
        <v>42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1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27">
        <f t="shared" si="4"/>
        <v>2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2.5" x14ac:dyDescent="0.25">
      <c r="A48" s="6" t="s">
        <v>43</v>
      </c>
      <c r="B48" s="6">
        <v>0</v>
      </c>
      <c r="C48" s="6">
        <v>0</v>
      </c>
      <c r="D48" s="6">
        <v>1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27">
        <f t="shared" si="4"/>
        <v>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2.5" x14ac:dyDescent="0.25">
      <c r="A49" s="6"/>
      <c r="B49" s="6" t="str">
        <f t="shared" ref="B49:M49" si="5">B45&amp;","&amp;B46&amp;","&amp;B47&amp;","&amp;B48</f>
        <v>1,1,0,0</v>
      </c>
      <c r="C49" s="6" t="str">
        <f t="shared" si="5"/>
        <v>1,1,0,0</v>
      </c>
      <c r="D49" s="6" t="str">
        <f t="shared" si="5"/>
        <v>1,1,0,1</v>
      </c>
      <c r="E49" s="6" t="str">
        <f t="shared" si="5"/>
        <v>1,1,0,0</v>
      </c>
      <c r="F49" s="6" t="str">
        <f t="shared" si="5"/>
        <v>1,1,0,0</v>
      </c>
      <c r="G49" s="6" t="str">
        <f t="shared" si="5"/>
        <v>1,1,0,0</v>
      </c>
      <c r="H49" s="6" t="str">
        <f t="shared" si="5"/>
        <v>1,0,1,0</v>
      </c>
      <c r="I49" s="6" t="str">
        <f t="shared" si="5"/>
        <v>1,1,1,0</v>
      </c>
      <c r="J49" s="6" t="str">
        <f t="shared" si="5"/>
        <v>1,0,0,0</v>
      </c>
      <c r="K49" s="6" t="str">
        <f t="shared" si="5"/>
        <v>0,0,0,0</v>
      </c>
      <c r="L49" s="6" t="str">
        <f t="shared" si="5"/>
        <v>1,1,0,0</v>
      </c>
      <c r="M49" s="6" t="str">
        <f t="shared" si="5"/>
        <v>1,0,0,0</v>
      </c>
      <c r="N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2.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2.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2.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2.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2.5" x14ac:dyDescent="0.25">
      <c r="A54" s="6"/>
      <c r="B54" s="6" t="s">
        <v>46</v>
      </c>
      <c r="C54" s="6" t="s">
        <v>46</v>
      </c>
      <c r="D54" s="6" t="s">
        <v>60</v>
      </c>
      <c r="E54" s="6" t="s">
        <v>46</v>
      </c>
      <c r="F54" s="6" t="s">
        <v>46</v>
      </c>
      <c r="G54" s="6" t="s">
        <v>46</v>
      </c>
      <c r="H54" s="6" t="s">
        <v>72</v>
      </c>
      <c r="I54" s="6" t="s">
        <v>48</v>
      </c>
      <c r="J54" s="6" t="s">
        <v>61</v>
      </c>
      <c r="K54" s="6" t="s">
        <v>45</v>
      </c>
      <c r="L54" s="6" t="s">
        <v>46</v>
      </c>
      <c r="M54" s="6" t="s">
        <v>61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2.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2.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2.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2.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2.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2.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2.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2.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2.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2.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2.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2.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2.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2.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2.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2.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2.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2.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2.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2.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2.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2.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2.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2.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2.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2.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2.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2.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2.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2.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2.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2.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2.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2.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2.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2.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2.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2.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2.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2.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2.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2.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2.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2.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2.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2.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2.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2.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2.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2.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2.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2.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2.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2.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2.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2.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2.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2.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2.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2.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2.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2.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2.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2.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2.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2.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2.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2.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2.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2.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2.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2.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2.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2.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2.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2.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2.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2.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2.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2.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2.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2.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2.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2.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2.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2.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2.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2.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2.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2.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2.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2.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2.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2.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2.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2.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2.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2.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2.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2.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2.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2.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2.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2.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2.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2.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2.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2.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2.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2.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2.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2.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2.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2.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2.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2.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2.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2.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2.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2.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2.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2.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2.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2.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2.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2.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2.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2.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2.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2.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2.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2.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2.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2.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2.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2.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2.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2.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2.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2.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2.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2.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2.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2.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2.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2.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2.5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2.5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2.5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2.5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2.5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2.5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2.5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2.5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2.5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2.5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2.5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2.5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2.5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2.5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2.5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2.5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2.5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2.5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2.5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2.5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2.5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2.5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2.5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2.5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2.5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2.5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2.5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2.5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2.5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2.5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2.5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2.5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2.5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2.5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2.5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2.5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2.5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2.5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2.5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2.5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2.5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2.5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2.5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2.5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2.5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2.5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2.5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2.5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2.5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2.5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2.5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2.5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2.5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2.5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2.5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2.5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2.5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2.5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2.5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2.5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2.5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2.5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2.5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2.5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2.5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2.5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2.5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2.5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2.5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2.5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2.5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2.5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2.5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2.5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2.5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2.5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2.5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2.5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2.5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2.5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2.5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2.5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2.5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2.5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2.5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2.5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2.5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2.5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2.5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2.5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2.5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2.5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2.5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2.5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2.5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2.5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2.5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2.5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2.5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2.5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2.5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2.5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2.5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2.5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2.5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2.5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2.5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2.5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2.5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2.5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2.5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2.5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2.5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2.5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2.5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2.5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2.5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2.5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2.5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2.5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2.5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2.5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2.5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2.5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2.5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2.5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2.5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2.5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2.5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2.5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2.5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2.5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2.5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2.5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2.5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2.5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2.5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2.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2.5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2.5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2.5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2.5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2.5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2.5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2.5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2.5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2.5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2.5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2.5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2.5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2.5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2.5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2.5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2.5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2.5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2.5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2.5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2.5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2.5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2.5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2.5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2.5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2.5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2.5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2.5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2.5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2.5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2.5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2.5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2.5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2.5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2.5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2.5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2.5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2.5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2.5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2.5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2.5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2.5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2.5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2.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2.5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2.5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2.5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2.5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2.5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2.5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2.5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2.5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2.5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2.5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2.5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2.5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2.5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2.5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2.5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2.5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2.5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2.5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2.5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2.5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2.5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2.5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2.5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2.5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2.5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2.5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2.5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2.5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2.5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2.5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2.5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2.5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2.5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2.5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2.5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2.5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2.5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2.5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2.5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2.5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2.5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2.5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2.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2.5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2.5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2.5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2.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2.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2.5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2.5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2.5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2.5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2.5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2.5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2.5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2.5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2.5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2.5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2.5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2.5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2.5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2.5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2.5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2.5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2.5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2.5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2.5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2.5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2.5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2.5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2.5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2.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2.5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2.5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2.5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2.5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2.5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2.5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2.5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2.5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2.5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2.5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2.5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2.5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2.5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2.5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2.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2.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2.5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2.5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2.5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2.5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2.5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2.5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2.5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2.5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2.5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2.5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2.5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2.5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2.5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2.5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2.5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2.5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2.5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2.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2.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2.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2.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2.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2.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2.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2.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2.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2.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2.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2.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2.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2.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2.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2.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2.5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2.5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2.5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2.5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2.5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2.5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2.5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2.5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2.5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2.5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2.5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2.5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2.5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2.5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2.5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2.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2.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2.5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2.5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2.5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2.5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2.5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2.5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2.5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2.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2.5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2.5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2.5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2.5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2.5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2.5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2.5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2.5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2.5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2.5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2.5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2.5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2.5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2.5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2.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2.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2.5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2.5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2.5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2.5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2.5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2.5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2.5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2.5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2.5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2.5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2.5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2.5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2.5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2.5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2.5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2.5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2.5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2.5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2.5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2.5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2.5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2.5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2.5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2.5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2.5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2.5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2.5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2.5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2.5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2.5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2.5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2.5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2.5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2.5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2.5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2.5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2.5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2.5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2.5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2.5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2.5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2.5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2.5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2.5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2.5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2.5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2.5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2.5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2.5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2.5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2.5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2.5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2.5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2.5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2.5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2.5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2.5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2.5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2.5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2.5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2.5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2.5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2.5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2.5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2.5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2.5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2.5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2.5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2.5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2.5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2.5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2.5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2.5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2.5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2.5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2.5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2.5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2.5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2.5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2.5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2.5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2.5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2.5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2.5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2.5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2.5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2.5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2.5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2.5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2.5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2.5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2.5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2.5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2.5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2.5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2.5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2.5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2.5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2.5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2.5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2.5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2.5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2.5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2.5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2.5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2.5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2.5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2.5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2.5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2.5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2.5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2.5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2.5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2.5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2.5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2.5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2.5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2.5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2.5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2.5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2.5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2.5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2.5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2.5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2.5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2.5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2.5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2.5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2.5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2.5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2.5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2.5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2.5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2.5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2.5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2.5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2.5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2.5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2.5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2.5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2.5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2.5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2.5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2.5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2.5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2.5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2.5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2.5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2.5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2.5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2.5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2.5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2.5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2.5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2.5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2.5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2.5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2.5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2.5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2.5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2.5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2.5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2.5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2.5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2.5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2.5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2.5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2.5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2.5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2.5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2.5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2.5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2.5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2.5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2.5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2.5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2.5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2.5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2.5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2.5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2.5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2.5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2.5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2.5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2.5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2.5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2.5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2.5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2.5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2.5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2.5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2.5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2.5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2.5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2.5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2.5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2.5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2.5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2.5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2.5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2.5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2.5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2.5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2.5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2.5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2.5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2.5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2.5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2.5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2.5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2.5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2.5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2.5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2.5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2.5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2.5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2.5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2.5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2.5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2.5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2.5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2.5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2.5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2.5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2.5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2.5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2.5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2.5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2.5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2.5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2.5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2.5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2.5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2.5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2.5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2.5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2.5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2.5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2.5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2.5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2.5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2.5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2.5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2.5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2.5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2.5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2.5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2.5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2.5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2.5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2.5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2.5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2.5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2.5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2.5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2.5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2.5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2.5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2.5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2.5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2.5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2.5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2.5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2.5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2.5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2.5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2.5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2.5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2.5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2.5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2.5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2.5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2.5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2.5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2.5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2.5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2.5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2.5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2.5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2.5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2.5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2.5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2.5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2.5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2.5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2.5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2.5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2.5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2.5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2.5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2.5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2.5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2.5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2.5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2.5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2.5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2.5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2.5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2.5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2.5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2.5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2.5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2.5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2.5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2.5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2.5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2.5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2.5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2.5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2.5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2.5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2.5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2.5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2.5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2.5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2.5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2.5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2.5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2.5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2.5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2.5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2.5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2.5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2.5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2.5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2.5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2.5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2.5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2.5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2.5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2.5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2.5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2.5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2.5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2.5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2.5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2.5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2.5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2.5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2.5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2.5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2.5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2.5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2.5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2.5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2.5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2.5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2.5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2.5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2.5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2.5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2.5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2.5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2.5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2.5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2.5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2.5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2.5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2.5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2.5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2.5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2.5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2.5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2.5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2.5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2.5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2.5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2.5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2.5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2.5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2.5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2.5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2.5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2.5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2.5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2.5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2.5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2.5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2.5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2.5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2.5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2.5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2.5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2.5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2.5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2.5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2.5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2.5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2.5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2.5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2.5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2.5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2.5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2.5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2.5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2.5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2.5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2.5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2.5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2.5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2.5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2.5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2.5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2.5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2.5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2.5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2.5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2.5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2.5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2.5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2.5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2.5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2.5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2.5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2.5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2.5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2.5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2.5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2.5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2.5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2.5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2.5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2.5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2.5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2.5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2.5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2.5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2.5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2.5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2.5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2.5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2.5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2.5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2.5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2.5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2.5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2.5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2.5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2.5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2.5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2.5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2.5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2.5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2.5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2.5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47"/>
  <sheetViews>
    <sheetView workbookViewId="0">
      <selection activeCell="E12" sqref="E12"/>
    </sheetView>
  </sheetViews>
  <sheetFormatPr defaultColWidth="12.6328125" defaultRowHeight="15" customHeight="1" x14ac:dyDescent="0.25"/>
  <sheetData>
    <row r="1" spans="1:20" ht="14" x14ac:dyDescent="0.3">
      <c r="A1" s="2"/>
      <c r="B1" s="3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8" t="s">
        <v>44</v>
      </c>
      <c r="M1" s="6" t="s">
        <v>62</v>
      </c>
      <c r="N1" s="6" t="s">
        <v>63</v>
      </c>
      <c r="O1" s="6"/>
      <c r="P1" s="6"/>
      <c r="Q1" s="6"/>
      <c r="R1" s="6"/>
      <c r="S1" s="6"/>
      <c r="T1" s="6"/>
    </row>
    <row r="2" spans="1:20" ht="14" x14ac:dyDescent="0.3">
      <c r="A2" s="32" t="s">
        <v>10</v>
      </c>
      <c r="B2" s="4" t="s">
        <v>11</v>
      </c>
      <c r="C2" s="11">
        <f t="array" ref="C2">SUM(IF(LEFT(INDEX(MatchesDB!$K$11:$Z40, 0, MATCH(C$1, MatchesDB!$K$10:$Z$10, 0)), 1)="1", 1, 0))</f>
        <v>8</v>
      </c>
      <c r="D2" s="11">
        <f t="array" ref="D2">SUM(IF(LEFT(INDEX(MatchesDB!$K$11:$Z42, 0, MATCH(D$1, MatchesDB!$K$10:$Z$10, 0)), 1)="1", 1, 0))</f>
        <v>9</v>
      </c>
      <c r="E2" s="11">
        <f t="array" ref="E2">SUM(IF(LEFT(INDEX(MatchesDB!$K$11:$Z40, 0, MATCH(E$1, MatchesDB!$K$10:$Z$10, 0)), 1)="1", 1, 0))</f>
        <v>9</v>
      </c>
      <c r="F2" s="11">
        <f t="array" ref="F2">SUM(IF(LEFT(INDEX(MatchesDB!$K$11:$Z40, 0, MATCH(F$1, MatchesDB!$K$10:$Z$10, 0)), 1)="1", 1, 0))</f>
        <v>8</v>
      </c>
      <c r="G2" s="11">
        <f t="array" ref="G2">SUM(IF(LEFT(INDEX(MatchesDB!$K$11:$Z40, 0, MATCH(G$1, MatchesDB!$K$10:$Z$10, 0)), 1)="1", 1, 0))</f>
        <v>8</v>
      </c>
      <c r="H2" s="11">
        <f t="array" ref="H2">SUM(IF(LEFT(INDEX(MatchesDB!$K$11:$Z40, 0, MATCH(H$1, MatchesDB!$K$10:$Z$10, 0)), 1)="1", 1, 0))</f>
        <v>9</v>
      </c>
      <c r="I2" s="11">
        <f t="array" ref="I2">SUM(IF(LEFT(INDEX(MatchesDB!$K$11:$Z40, 0, MATCH(I$1, MatchesDB!$K$10:$Z$10, 0)), 1)="1", 1, 0))</f>
        <v>5</v>
      </c>
      <c r="J2" s="11">
        <f t="array" ref="J2">SUM(IF(LEFT(INDEX(MatchesDB!$K$11:$Z40, 0, MATCH(J$1, MatchesDB!$K$10:$Z$10, 0)), 1)="1", 1, 0))</f>
        <v>9</v>
      </c>
      <c r="K2" s="11">
        <f t="array" ref="K2">SUM(IF(LEFT(INDEX(MatchesDB!$K$11:$Z40, 0, MATCH(K$1, MatchesDB!$K$10:$Z$10, 0)), 1)="1", 1, 0))</f>
        <v>9</v>
      </c>
      <c r="L2" s="11">
        <f t="array" ref="L2">SUM(IF(LEFT(INDEX(MatchesDB!$K$11:$Z40, 0, MATCH(L$1, MatchesDB!$K$10:$Z$10, 0)), 1)="1", 1, 0))</f>
        <v>1</v>
      </c>
      <c r="M2" s="11">
        <f t="array" ref="M2">SUM(IF(LEFT(INDEX(MatchesDB!$K$11:$Z40, 0, MATCH(M$1, MatchesDB!$K$10:$Z$10, 0)), 1)="1", 1, 0))</f>
        <v>4</v>
      </c>
      <c r="N2" s="11">
        <f t="array" ref="N2">SUM(IF(LEFT(INDEX(MatchesDB!$K$11:$Z40, 0, MATCH(N$1, MatchesDB!$K$10:$Z$10, 0)), 1)="1", 1, 0))</f>
        <v>4</v>
      </c>
      <c r="O2" s="6"/>
      <c r="P2" s="6"/>
      <c r="Q2" s="6"/>
      <c r="R2" s="6"/>
      <c r="S2" s="6"/>
      <c r="T2" s="6"/>
    </row>
    <row r="3" spans="1:20" ht="14" x14ac:dyDescent="0.3">
      <c r="A3" s="33"/>
      <c r="B3" s="4" t="s">
        <v>33</v>
      </c>
      <c r="C3" s="23">
        <f>C2/MatchesDB!$B$1</f>
        <v>0.88888888888888884</v>
      </c>
      <c r="D3" s="23">
        <f>D2/MatchesDB!$B$1</f>
        <v>1</v>
      </c>
      <c r="E3" s="23">
        <f>E2/MatchesDB!$B$1</f>
        <v>1</v>
      </c>
      <c r="F3" s="23">
        <f>F2/MatchesDB!$B$1</f>
        <v>0.88888888888888884</v>
      </c>
      <c r="G3" s="23">
        <f>G2/MatchesDB!$B$1</f>
        <v>0.88888888888888884</v>
      </c>
      <c r="H3" s="23">
        <f>H2/MatchesDB!$B$1</f>
        <v>1</v>
      </c>
      <c r="I3" s="23">
        <f>I2/MatchesDB!$B$1</f>
        <v>0.55555555555555558</v>
      </c>
      <c r="J3" s="23">
        <f>J2/(MatchesDB!$B$1)</f>
        <v>1</v>
      </c>
      <c r="K3" s="23">
        <f>K2/MatchesDB!$B$1</f>
        <v>1</v>
      </c>
      <c r="L3" s="23">
        <f>L2/MatchesDB!$B$1</f>
        <v>0.1111111111111111</v>
      </c>
      <c r="M3" s="23">
        <f>M2/MatchesDB!$B$1</f>
        <v>0.44444444444444442</v>
      </c>
      <c r="N3" s="23">
        <f>N2/MatchesDB!$B$1</f>
        <v>0.44444444444444442</v>
      </c>
      <c r="O3" s="6"/>
      <c r="P3" s="6"/>
      <c r="Q3" s="6"/>
      <c r="R3" s="6"/>
      <c r="S3" s="6"/>
      <c r="T3" s="6"/>
    </row>
    <row r="4" spans="1:20" ht="14" x14ac:dyDescent="0.3">
      <c r="A4" s="32" t="s">
        <v>34</v>
      </c>
      <c r="B4" s="4" t="s">
        <v>11</v>
      </c>
      <c r="C4" s="25">
        <f t="array" ref="C4">SUM(IF(MID(INDEX(MatchesDB!$K$11:$Z40, 0, MATCH(C$1, MatchesDB!$K$10:$Z$10, 0)), 3, 1)="1", 1, 0))</f>
        <v>8</v>
      </c>
      <c r="D4" s="25">
        <f t="array" ref="D4">SUM(IF(MID(INDEX(MatchesDB!$K$11:$Z40, 0, MATCH(D$1, MatchesDB!$K$10:$Z$10, 0)), 3, 1)="1", 1, 0))</f>
        <v>9</v>
      </c>
      <c r="E4" s="25">
        <f t="array" ref="E4">SUM(IF(MID(INDEX(MatchesDB!$K$11:$Z40, 0, MATCH(E$1, MatchesDB!$K$10:$Z$10, 0)), 3, 1)="1", 1, 0))</f>
        <v>9</v>
      </c>
      <c r="F4" s="25">
        <f t="array" ref="F4">SUM(IF(MID(INDEX(MatchesDB!$K$11:$Z40, 0, MATCH(F$1, MatchesDB!$K$10:$Z$10, 0)), 3, 1)="1", 1, 0))</f>
        <v>7</v>
      </c>
      <c r="G4" s="25">
        <f t="array" ref="G4">SUM(IF(MID(INDEX(MatchesDB!$K$11:$Z40, 0, MATCH(G$1, MatchesDB!$K$10:$Z$10, 0)), 3, 1)="1", 1, 0))</f>
        <v>8</v>
      </c>
      <c r="H4" s="25">
        <f t="array" ref="H4">SUM(IF(MID(INDEX(MatchesDB!$K$11:$Z40, 0, MATCH(H$1, MatchesDB!$K$10:$Z$10, 0)), 3, 1)="1", 1, 0))</f>
        <v>8</v>
      </c>
      <c r="I4" s="25">
        <f t="array" ref="I4">SUM(IF(MID(INDEX(MatchesDB!$K$11:$Z40, 0, MATCH(I$1, MatchesDB!$K$10:$Z$10, 0)), 3, 1)="1", 1, 0))</f>
        <v>3</v>
      </c>
      <c r="J4" s="25">
        <f t="array" ref="J4">SUM(IF(MID(INDEX(MatchesDB!$K$11:$Z40, 0, MATCH(J$1, MatchesDB!$K$10:$Z$10, 0)), 3, 1)="1", 1, 0))</f>
        <v>9</v>
      </c>
      <c r="K4" s="25">
        <f t="array" ref="K4">SUM(IF(MID(INDEX(MatchesDB!$K$11:$Z40, 0, MATCH(K$1, MatchesDB!$K$10:$Z$10, 0)), 3, 1)="1", 1, 0))</f>
        <v>6</v>
      </c>
      <c r="L4" s="25">
        <f t="array" ref="L4">SUM(IF(MID(INDEX(MatchesDB!$K$11:$Z40, 0, MATCH(L$1, MatchesDB!$K$10:$Z$10, 0)), 3, 1)="1", 1, 0))</f>
        <v>1</v>
      </c>
      <c r="M4" s="25">
        <f t="array" ref="M4">SUM(IF(MID(INDEX(MatchesDB!$K$11:$Z40, 0, MATCH(M$1, MatchesDB!$K$10:$Z$10, 0)), 3, 1)="1", 1, 0))</f>
        <v>4</v>
      </c>
      <c r="N4" s="25">
        <f t="array" ref="N4">SUM(IF(MID(INDEX(MatchesDB!$K$11:$Z40, 0, MATCH(N$1, MatchesDB!$K$10:$Z$10, 0)), 3, 1)="1", 1, 0))</f>
        <v>1</v>
      </c>
      <c r="O4" s="6"/>
      <c r="P4" s="6"/>
      <c r="Q4" s="6"/>
      <c r="R4" s="6"/>
      <c r="S4" s="6"/>
      <c r="T4" s="6"/>
    </row>
    <row r="5" spans="1:20" ht="14" x14ac:dyDescent="0.3">
      <c r="A5" s="33"/>
      <c r="B5" s="4" t="s">
        <v>33</v>
      </c>
      <c r="C5" s="23">
        <f t="shared" ref="C5:L5" si="0">C4/C2</f>
        <v>1</v>
      </c>
      <c r="D5" s="23">
        <f t="shared" si="0"/>
        <v>1</v>
      </c>
      <c r="E5" s="23">
        <f t="shared" si="0"/>
        <v>1</v>
      </c>
      <c r="F5" s="23">
        <f t="shared" si="0"/>
        <v>0.875</v>
      </c>
      <c r="G5" s="23">
        <f t="shared" si="0"/>
        <v>1</v>
      </c>
      <c r="H5" s="23">
        <f t="shared" si="0"/>
        <v>0.88888888888888884</v>
      </c>
      <c r="I5" s="23">
        <f t="shared" si="0"/>
        <v>0.6</v>
      </c>
      <c r="J5" s="23">
        <f t="shared" si="0"/>
        <v>1</v>
      </c>
      <c r="K5" s="23">
        <f t="shared" si="0"/>
        <v>0.66666666666666663</v>
      </c>
      <c r="L5" s="23">
        <f t="shared" si="0"/>
        <v>1</v>
      </c>
      <c r="M5" s="23">
        <f t="shared" ref="M5:N5" si="1">M4/M2</f>
        <v>1</v>
      </c>
      <c r="N5" s="23">
        <f t="shared" si="1"/>
        <v>0.25</v>
      </c>
      <c r="O5" s="6"/>
      <c r="P5" s="6"/>
      <c r="Q5" s="6"/>
      <c r="R5" s="6"/>
      <c r="S5" s="6"/>
      <c r="T5" s="6"/>
    </row>
    <row r="6" spans="1:20" ht="14" x14ac:dyDescent="0.3">
      <c r="A6" s="32" t="s">
        <v>35</v>
      </c>
      <c r="B6" s="4" t="s">
        <v>11</v>
      </c>
      <c r="C6" s="11">
        <f t="array" ref="C6">SUM(IFERROR(VALUE(MID(INDEX(MatchesDB!$K$11:$Z40, 0, MATCH(C$1, MatchesDB!$K$10:$Z$10, 0)), 5, 1)), 0))</f>
        <v>0</v>
      </c>
      <c r="D6" s="11" cm="1">
        <f t="array" ref="D6">SUM(IFERROR(VALUE(MID(INDEX(MatchesDB!$K$11:$Z40, 0, MATCH(D$1, MatchesDB!$K$10:$Z$10, 0)), 5, 1)), 0))</f>
        <v>9</v>
      </c>
      <c r="E6" s="11">
        <f t="array" ref="E6">SUM(IFERROR(VALUE(MID(INDEX(MatchesDB!$K$11:$Z40, 0, MATCH(E$1, MatchesDB!$K$10:$Z$10, 0)), 5, 1)), 0))</f>
        <v>4</v>
      </c>
      <c r="F6" s="11">
        <f t="array" ref="F6">SUM(IFERROR(VALUE(MID(INDEX(MatchesDB!$K$11:$Z40, 0, MATCH(F$1, MatchesDB!$K$10:$Z$10, 0)), 5, 1)), 0))</f>
        <v>3</v>
      </c>
      <c r="G6" s="11">
        <f t="array" ref="G6">SUM(IFERROR(VALUE(MID(INDEX(MatchesDB!$K$11:$Z40, 0, MATCH(G$1, MatchesDB!$K$10:$Z$10, 0)), 5, 1)), 0))</f>
        <v>2</v>
      </c>
      <c r="H6" s="11">
        <f t="array" ref="H6">SUM(IFERROR(VALUE(MID(INDEX(MatchesDB!$K$11:$Z40, 0, MATCH(H$1, MatchesDB!$K$10:$Z$10, 0)), 5, 1)), 0))</f>
        <v>0</v>
      </c>
      <c r="I6" s="11">
        <f t="array" ref="I6">SUM(IFERROR(VALUE(MID(INDEX(MatchesDB!$K$11:$Z40, 0, MATCH(I$1, MatchesDB!$K$10:$Z$10, 0)), 5, 1)), 0))</f>
        <v>2</v>
      </c>
      <c r="J6" s="11">
        <f t="array" ref="J6">SUM(IFERROR(VALUE(MID(INDEX(MatchesDB!$K$11:$Z40, 0, MATCH(J$1, MatchesDB!$K$10:$Z$10, 0)), 5, 1)), 0))</f>
        <v>7</v>
      </c>
      <c r="K6" s="11">
        <f t="array" ref="K6">SUM(IFERROR(VALUE(MID(INDEX(MatchesDB!$K$11:$Z40, 0, MATCH(K$1, MatchesDB!$K$10:$Z$10, 0)), 5, 1)), 0))</f>
        <v>2</v>
      </c>
      <c r="L6" s="11">
        <f t="array" ref="L6">SUM(IFERROR(VALUE(MID(INDEX(MatchesDB!$K$11:$Z40, 0, MATCH(L$1, MatchesDB!$K$10:$Z$10, 0)), 5, 1)), 0))</f>
        <v>0</v>
      </c>
      <c r="M6" s="11">
        <f t="array" ref="M6">SUM(IFERROR(VALUE(MID(INDEX(MatchesDB!$K$11:$Z40, 0, MATCH(M$1, MatchesDB!$K$10:$Z$10, 0)), 5, 1)), 0))</f>
        <v>1</v>
      </c>
      <c r="N6" s="11">
        <f t="array" ref="N6">SUM(IFERROR(VALUE(MID(INDEX(MatchesDB!$K$11:$Z40, 0, MATCH(N$1, MatchesDB!$K$10:$Z$10, 0)), 5, 1)), 0))</f>
        <v>2</v>
      </c>
      <c r="O6" s="6"/>
      <c r="P6" s="6"/>
      <c r="Q6" s="6"/>
      <c r="R6" s="6"/>
      <c r="S6" s="6"/>
      <c r="T6" s="6"/>
    </row>
    <row r="7" spans="1:20" ht="14" x14ac:dyDescent="0.3">
      <c r="A7" s="33"/>
      <c r="B7" s="4" t="s">
        <v>38</v>
      </c>
      <c r="C7" s="26">
        <f t="shared" ref="C7:L7" si="2">C6/C2</f>
        <v>0</v>
      </c>
      <c r="D7" s="26">
        <f t="shared" si="2"/>
        <v>1</v>
      </c>
      <c r="E7" s="26">
        <f t="shared" si="2"/>
        <v>0.44444444444444442</v>
      </c>
      <c r="F7" s="26">
        <f t="shared" si="2"/>
        <v>0.375</v>
      </c>
      <c r="G7" s="26">
        <f t="shared" si="2"/>
        <v>0.25</v>
      </c>
      <c r="H7" s="26">
        <f t="shared" si="2"/>
        <v>0</v>
      </c>
      <c r="I7" s="26">
        <f t="shared" si="2"/>
        <v>0.4</v>
      </c>
      <c r="J7" s="26">
        <f t="shared" si="2"/>
        <v>0.77777777777777779</v>
      </c>
      <c r="K7" s="26">
        <f t="shared" si="2"/>
        <v>0.22222222222222221</v>
      </c>
      <c r="L7" s="26">
        <f t="shared" si="2"/>
        <v>0</v>
      </c>
      <c r="M7" s="26">
        <f t="shared" ref="M7:N7" si="3">M6/M2</f>
        <v>0.25</v>
      </c>
      <c r="N7" s="26">
        <f t="shared" si="3"/>
        <v>0.5</v>
      </c>
      <c r="O7" s="6"/>
      <c r="P7" s="6"/>
      <c r="Q7" s="6"/>
      <c r="R7" s="6"/>
      <c r="S7" s="6"/>
      <c r="T7" s="6"/>
    </row>
    <row r="8" spans="1:20" ht="14" x14ac:dyDescent="0.3">
      <c r="A8" s="32" t="s">
        <v>39</v>
      </c>
      <c r="B8" s="4" t="s">
        <v>11</v>
      </c>
      <c r="C8" s="25">
        <f t="array" ref="C8">SUM(IFERROR(VALUE(MID(INDEX(MatchesDB!$K$11:$Z40, 0, MATCH(C$1, MatchesDB!$K$10:$Z$10, 0)), 7, 1)), 0))</f>
        <v>0</v>
      </c>
      <c r="D8" s="25">
        <f t="array" ref="D8">SUM(IFERROR(VALUE(MID(INDEX(MatchesDB!$K$11:$Z40, 0, MATCH(D$1, MatchesDB!$K$10:$Z$10, 0)), 7, 1)), 0))</f>
        <v>3</v>
      </c>
      <c r="E8" s="25">
        <f t="array" ref="E8">SUM(IFERROR(VALUE(MID(INDEX(MatchesDB!$K$11:$Z40, 0, MATCH(E$1, MatchesDB!$K$10:$Z$10, 0)), 7, 1)), 0))</f>
        <v>5</v>
      </c>
      <c r="F8" s="25">
        <f t="array" ref="F8">SUM(IFERROR(VALUE(MID(INDEX(MatchesDB!$K$11:$Z40, 0, MATCH(F$1, MatchesDB!$K$10:$Z$10, 0)), 7, 1)), 0))</f>
        <v>2</v>
      </c>
      <c r="G8" s="25">
        <f t="array" ref="G8">SUM(IFERROR(VALUE(MID(INDEX(MatchesDB!$K$11:$Z40, 0, MATCH(G$1, MatchesDB!$K$10:$Z$10, 0)), 7, 1)), 0))</f>
        <v>0</v>
      </c>
      <c r="H8" s="25">
        <f t="array" ref="H8">SUM(IFERROR(VALUE(MID(INDEX(MatchesDB!$K$11:$Z40, 0, MATCH(H$1, MatchesDB!$K$10:$Z$10, 0)), 7, 1)), 0))</f>
        <v>1</v>
      </c>
      <c r="I8" s="25">
        <f t="array" ref="I8">SUM(IFERROR(VALUE(MID(INDEX(MatchesDB!$K$11:$Z40, 0, MATCH(I$1, MatchesDB!$K$10:$Z$10, 0)), 7, 1)), 0))</f>
        <v>0</v>
      </c>
      <c r="J8" s="25">
        <f t="array" ref="J8">SUM(IFERROR(VALUE(MID(INDEX(MatchesDB!$K$11:$Z40, 0, MATCH(J$1, MatchesDB!$K$10:$Z$10, 0)), 7, 1)), 0))</f>
        <v>5</v>
      </c>
      <c r="K8" s="25">
        <f t="array" ref="K8">SUM(IFERROR(VALUE(MID(INDEX(MatchesDB!$K$11:$Z40, 0, MATCH(K$1, MatchesDB!$K$10:$Z$10, 0)), 7, 1)), 0))</f>
        <v>1</v>
      </c>
      <c r="L8" s="25">
        <f t="array" ref="L8">SUM(IFERROR(VALUE(MID(INDEX(MatchesDB!$K$11:$Z40, 0, MATCH(L$1, MatchesDB!$K$10:$Z$10, 0)), 7, 1)), 0))</f>
        <v>0</v>
      </c>
      <c r="M8" s="25">
        <f t="array" ref="M8">SUM(IFERROR(VALUE(MID(INDEX(MatchesDB!$K$11:$Z40, 0, MATCH(M$1, MatchesDB!$K$10:$Z$10, 0)), 7, 1)), 0))</f>
        <v>1</v>
      </c>
      <c r="N8" s="25">
        <f t="array" ref="N8">SUM(IFERROR(VALUE(MID(INDEX(MatchesDB!$K$11:$Z40, 0, MATCH(N$1, MatchesDB!$K$10:$Z$10, 0)), 7, 1)), 0))</f>
        <v>0</v>
      </c>
      <c r="O8" s="6"/>
      <c r="P8" s="6"/>
      <c r="Q8" s="6"/>
      <c r="R8" s="6"/>
      <c r="S8" s="6"/>
      <c r="T8" s="6"/>
    </row>
    <row r="9" spans="1:20" ht="14" x14ac:dyDescent="0.3">
      <c r="A9" s="33"/>
      <c r="B9" s="4" t="s">
        <v>38</v>
      </c>
      <c r="C9" s="26">
        <f t="shared" ref="C9:L9" si="4">C8/C2</f>
        <v>0</v>
      </c>
      <c r="D9" s="26">
        <f t="shared" si="4"/>
        <v>0.33333333333333331</v>
      </c>
      <c r="E9" s="26">
        <f t="shared" si="4"/>
        <v>0.55555555555555558</v>
      </c>
      <c r="F9" s="26">
        <f t="shared" si="4"/>
        <v>0.25</v>
      </c>
      <c r="G9" s="26">
        <f t="shared" si="4"/>
        <v>0</v>
      </c>
      <c r="H9" s="26">
        <f t="shared" si="4"/>
        <v>0.1111111111111111</v>
      </c>
      <c r="I9" s="26">
        <f t="shared" si="4"/>
        <v>0</v>
      </c>
      <c r="J9" s="26">
        <f t="shared" si="4"/>
        <v>0.55555555555555558</v>
      </c>
      <c r="K9" s="26">
        <f t="shared" si="4"/>
        <v>0.1111111111111111</v>
      </c>
      <c r="L9" s="26">
        <f t="shared" si="4"/>
        <v>0</v>
      </c>
      <c r="M9" s="26">
        <f t="shared" ref="M9:N9" si="5">M8/M2</f>
        <v>0.25</v>
      </c>
      <c r="N9" s="26">
        <f t="shared" si="5"/>
        <v>0</v>
      </c>
      <c r="O9" s="6"/>
      <c r="P9" s="6"/>
      <c r="Q9" s="6"/>
      <c r="R9" s="6"/>
      <c r="S9" s="6"/>
      <c r="T9" s="6"/>
    </row>
    <row r="10" spans="1:20" ht="14" x14ac:dyDescent="0.3">
      <c r="A10" s="32" t="s">
        <v>40</v>
      </c>
      <c r="B10" s="4" t="s">
        <v>11</v>
      </c>
      <c r="C10" s="11">
        <f t="shared" ref="C10:L10" si="6">C6+C8</f>
        <v>0</v>
      </c>
      <c r="D10" s="11">
        <f t="shared" si="6"/>
        <v>12</v>
      </c>
      <c r="E10" s="11">
        <f t="shared" si="6"/>
        <v>9</v>
      </c>
      <c r="F10" s="11">
        <f t="shared" si="6"/>
        <v>5</v>
      </c>
      <c r="G10" s="11">
        <f t="shared" si="6"/>
        <v>2</v>
      </c>
      <c r="H10" s="11">
        <f t="shared" si="6"/>
        <v>1</v>
      </c>
      <c r="I10" s="11">
        <f t="shared" si="6"/>
        <v>2</v>
      </c>
      <c r="J10" s="11">
        <f t="shared" si="6"/>
        <v>12</v>
      </c>
      <c r="K10" s="11">
        <f t="shared" si="6"/>
        <v>3</v>
      </c>
      <c r="L10" s="11">
        <f t="shared" si="6"/>
        <v>0</v>
      </c>
      <c r="M10" s="11">
        <f t="shared" ref="M10:N10" si="7">M6+M8</f>
        <v>2</v>
      </c>
      <c r="N10" s="11">
        <f t="shared" si="7"/>
        <v>2</v>
      </c>
      <c r="O10" s="6"/>
      <c r="P10" s="6"/>
      <c r="Q10" s="6"/>
      <c r="R10" s="6"/>
      <c r="S10" s="6"/>
      <c r="T10" s="6"/>
    </row>
    <row r="11" spans="1:20" ht="14" x14ac:dyDescent="0.3">
      <c r="A11" s="33"/>
      <c r="B11" s="4" t="s">
        <v>38</v>
      </c>
      <c r="C11" s="26">
        <f t="shared" ref="C11:L11" si="8">C10/C2</f>
        <v>0</v>
      </c>
      <c r="D11" s="26">
        <f t="shared" si="8"/>
        <v>1.3333333333333333</v>
      </c>
      <c r="E11" s="26">
        <f t="shared" si="8"/>
        <v>1</v>
      </c>
      <c r="F11" s="26">
        <f t="shared" si="8"/>
        <v>0.625</v>
      </c>
      <c r="G11" s="26">
        <f t="shared" si="8"/>
        <v>0.25</v>
      </c>
      <c r="H11" s="26">
        <f t="shared" si="8"/>
        <v>0.1111111111111111</v>
      </c>
      <c r="I11" s="26">
        <f t="shared" si="8"/>
        <v>0.4</v>
      </c>
      <c r="J11" s="26">
        <f t="shared" si="8"/>
        <v>1.3333333333333333</v>
      </c>
      <c r="K11" s="26">
        <f t="shared" si="8"/>
        <v>0.33333333333333331</v>
      </c>
      <c r="L11" s="26">
        <f t="shared" si="8"/>
        <v>0</v>
      </c>
      <c r="M11" s="26">
        <f t="shared" ref="M11:N11" si="9">M10/M2</f>
        <v>0.5</v>
      </c>
      <c r="N11" s="26">
        <f t="shared" si="9"/>
        <v>0.5</v>
      </c>
      <c r="O11" s="6"/>
      <c r="P11" s="6"/>
      <c r="Q11" s="6"/>
      <c r="R11" s="6"/>
      <c r="S11" s="6"/>
      <c r="T11" s="6"/>
    </row>
    <row r="12" spans="1:20" ht="1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1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1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1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1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1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1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1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1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1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1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1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1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1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1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1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1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1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1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1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1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1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1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1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MatchesDB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Swierzewski, Tomasz</cp:lastModifiedBy>
  <dcterms:modified xsi:type="dcterms:W3CDTF">2026-10-28T11:01:21Z</dcterms:modified>
</cp:coreProperties>
</file>